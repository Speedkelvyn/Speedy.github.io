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1 History" sheetId="4" state="visible" r:id="rId4"/>
    <sheet xmlns:r="http://schemas.openxmlformats.org/officeDocument/2006/relationships" name="2 Cash flows" sheetId="5" state="visible" r:id="rId5"/>
    <sheet xmlns:r="http://schemas.openxmlformats.org/officeDocument/2006/relationships" name="3 Discount rate" sheetId="6" state="visible" r:id="rId6"/>
    <sheet xmlns:r="http://schemas.openxmlformats.org/officeDocument/2006/relationships" name="4 Discount" sheetId="7" state="visible" r:id="rId7"/>
    <sheet xmlns:r="http://schemas.openxmlformats.org/officeDocument/2006/relationships" name="5 Price" sheetId="8" state="visible" r:id="rId8"/>
    <sheet xmlns:r="http://schemas.openxmlformats.org/officeDocument/2006/relationships" name="6 Verdict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Beta data" sheetId="11" state="visible" r:id="rId11"/>
  </sheets>
  <definedNames>
    <definedName name="scen_name">'Dashboard'!$B$5</definedName>
    <definedName name="scen_sel">'Dashboard'!$P$4</definedName>
    <definedName name="px_now">'Inputs'!$D$6</definedName>
    <definedName name="shares_basic">'Inputs'!$D$7</definedName>
    <definedName name="dilution">'Inputs'!$D$8</definedName>
    <definedName name="dps">'Inputs'!$D$9</definedName>
    <definedName name="rf">'Inputs'!$D$11</definedName>
    <definedName name="rm">'Inputs'!$D$12</definedName>
    <definedName name="crp">'Inputs'!$D$13</definedName>
    <definedName name="size_prem">'Inputs'!$D$14</definedName>
    <definedName name="beta_src">'Inputs'!$D$15</definedName>
    <definedName name="beta_raw">'Inputs'!$D$16</definedName>
    <definedName name="beta_daily_in">'Inputs'!$D$17</definedName>
    <definedName name="beta_crsp">'Inputs'!$D$18</definedName>
    <definedName name="beta_custom">'Inputs'!$D$19</definedName>
    <definedName name="beta_bu">'Inputs'!$D$20</definedName>
    <definedName name="kd">'Inputs'!$D$21</definedName>
    <definedName name="t_marg">'Inputs'!$D$22</definedName>
    <definedName name="g">'Inputs'!$D$24</definedName>
    <definedName name="first_period">'Inputs'!$D$25</definedName>
    <definedName name="stub">'Inputs'!$D$26</definedName>
    <definedName name="midyear">'Inputs'!$D$27</definedName>
    <definedName name="band">'Inputs'!$D$29</definedName>
    <definedName name="horizon">'Inputs'!$D$30</definedName>
    <definedName name="reg_min">'Inputs'!$D$31</definedName>
    <definedName name="eq_gate">'Inputs'!$D$32</definedName>
    <definedName name="rev_y0">'Inputs'!$D$34</definedName>
    <definedName name="corp_pct">'Inputs'!$D$35</definedName>
    <definedName name="tax_y1">'Inputs'!$D$36</definedName>
    <definedName name="tax_lr">'Inputs'!$D$37</definedName>
    <definedName name="da_pct">'Inputs'!$D$38</definedName>
    <definedName name="capex_pct">'Inputs'!$D$39</definedName>
    <definedName name="nwc_pct">'Inputs'!$D$40</definedName>
    <definedName name="nwc_open">'Inputs'!$D$41</definedName>
    <definedName name="ronic">'Inputs'!$D$42</definedName>
    <definedName name="exit_mult">'Inputs'!$D$43</definedName>
    <definedName name="tv_method">'Inputs'!$D$44</definedName>
    <definedName name="segy1_total">'Inputs'!$D$45</definedName>
    <definedName name="cash">'Inputs'!$D$47</definedName>
    <definedName name="core_debt">'Inputs'!$D$48</definedName>
    <definedName name="leases">'Inputs'!$D$49</definedName>
    <definedName name="dfs_rec">'Inputs'!$D$50</definedName>
    <definedName name="dfs_le">'Inputs'!$D$51</definedName>
    <definedName name="dfs_debt">'Inputs'!$D$52</definedName>
    <definedName name="investments">'Inputs'!$D$53</definedName>
    <definedName name="nci">'Inputs'!$D$54</definedName>
    <definedName name="s_g_total_0">'Scenarios'!$E$5</definedName>
    <definedName name="s_g_total_1">'Scenarios'!$E$6</definedName>
    <definedName name="s_g_total_2">'Scenarios'!$E$7</definedName>
    <definedName name="s_g_total_3">'Scenarios'!$E$8</definedName>
    <definedName name="s_m0_total">'Scenarios'!$E$9</definedName>
    <definedName name="s_m1_total">'Scenarios'!$E$10</definedName>
    <definedName name="eq_m">'1 History'!$D$43</definedName>
    <definedName name="eq_accr">'1 History'!$B$45</definedName>
    <definedName name="eq_cc">'1 History'!$B$46</definedName>
    <definedName name="eq_red">'1 History'!$B$47</definedName>
    <definedName name="eq_amber">'1 History'!$B$48</definedName>
    <definedName name="eq_grade">'1 History'!$B$49</definedName>
    <definedName name="cf_last_nopat">'2 Cash flows'!$M$16</definedName>
    <definedName name="cf_last_ebitda">'2 Cash flows'!$M$21</definedName>
    <definedName name="rf_x">'3 Discount rate'!$B$6</definedName>
    <definedName name="rm_x">'3 Discount rate'!$B$7</definedName>
    <definedName name="mrp">'3 Discount rate'!$B$8</definedName>
    <definedName name="beta_reg">'3 Discount rate'!$B$9</definedName>
    <definedName name="beta_r2">'3 Discount rate'!$B$10</definedName>
    <definedName name="beta_se">'3 Discount rate'!$B$11</definedName>
    <definedName name="beta_n">'3 Discount rate'!$B$12</definedName>
    <definedName name="beta_daily">'3 Discount rate'!$B$13</definedName>
    <definedName name="beta_used">'3 Discount rate'!$B$14</definedName>
    <definedName name="eq_prem">'3 Discount rate'!$B$15</definedName>
    <definedName name="ke">'3 Discount rate'!$B$16</definedName>
    <definedName name="kd_after">'3 Discount rate'!$B$18</definedName>
    <definedName name="e_val">'3 Discount rate'!$B$19</definedName>
    <definedName name="d_val">'3 Discount rate'!$B$20</definedName>
    <definedName name="w_e">'3 Discount rate'!$B$21</definedName>
    <definedName name="w_d">'3 Discount rate'!$B$22</definedName>
    <definedName name="wacc">'3 Discount rate'!$B$23</definedName>
    <definedName name="disc_rate">'3 Discount rate'!$B$24</definedName>
    <definedName name="pv_sum">'4 Discount'!$B$11</definedName>
    <definedName name="t_n">'4 Discount'!$B$13</definedName>
    <definedName name="tv_gordon">'4 Discount'!$B$14</definedName>
    <definedName name="pv_gordon">'4 Discount'!$B$15</definedName>
    <definedName name="tv_exit">'4 Discount'!$B$16</definedName>
    <definedName name="pv_exit">'4 Discount'!$B$17</definedName>
    <definedName name="pv_tv">'4 Discount'!$B$18</definedName>
    <definedName name="ev">'4 Discount'!$B$19</definedName>
    <definedName name="tv_share">'4 Discount'!$B$20</definedName>
    <definedName name="ev_x">'5 Price'!$B$5</definedName>
    <definedName name="x_debt">'5 Price'!$B$6</definedName>
    <definedName name="x_leases">'5 Price'!$B$7</definedName>
    <definedName name="x_cash">'5 Price'!$B$8</definedName>
    <definedName name="dfs_net">'5 Price'!$B$9</definedName>
    <definedName name="x_inv">'5 Price'!$B$10</definedName>
    <definedName name="x_nci">'5 Price'!$B$11</definedName>
    <definedName name="equity">'5 Price'!$B$12</definedName>
    <definedName name="dil_sh">'5 Price'!$B$13</definedName>
    <definedName name="model_ps">'5 Price'!$B$14</definedName>
    <definedName name="x_price">'5 Price'!$B$15</definedName>
    <definedName name="model_up">'5 Price'!$B$16</definedName>
    <definedName name="mcap_now">'5 Price'!$B$17</definedName>
    <definedName name="model_mcap_gap">'5 Price'!$B$18</definedName>
    <definedName name="fair">'6 Verdict'!$B$10</definedName>
    <definedName name="upside">'6 Verdict'!$B$11</definedName>
    <definedName name="eq_grade_x">'6 Verdict'!$B$12</definedName>
    <definedName name="raw_call">'6 Verdict'!$B$13</definedName>
    <definedName name="v_call">'6 Verdict'!$B$14</definedName>
    <definedName name="v_conf">'6 Verdict'!$B$15</definedName>
    <definedName name="exp_ret">'6 Verdict'!$B$16</definedName>
    <definedName name="req_ret">'6 Verdict'!$B$17</definedName>
    <definedName name="alpha">'6 Verdict'!$B$18</definedName>
    <definedName name="c_eps">'Comps'!$C$13</definedName>
    <definedName name="c_ebitda">'Comps'!$C$14</definedName>
    <definedName name="c_rev">'Comps'!$C$15</definedName>
    <definedName name="c_nd">'Comps'!$C$16</definedName>
    <definedName name="comps_ps">'Comps'!$E$21</definedName>
    <definedName name="reg_b">'Comps'!$E$32</definedName>
    <definedName name="reg_a">'Comps'!$E$33</definedName>
    <definedName name="reg_r2">'Comps'!$E$34</definedName>
    <definedName name="reg_n">'Comps'!$E$35</definedName>
    <definedName name="c_growth">'Comps'!$E$36</definedName>
    <definedName name="reg_mult">'Comps'!$E$37</definedName>
    <definedName name="reg_ps">'Comps'!$E$38</definedName>
    <definedName name="beta_rs">'Beta data'!$D$6:$D$427</definedName>
    <definedName name="beta_rm">'Beta data'!$E$6:$E$427</definedName>
    <definedName name="_xlnm.Print_Area" localSheetId="0">'Dashboard'!$A$1:$P$54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.0%;-0.0%;0.0%"/>
    <numFmt numFmtId="166" formatCode="#,##0;(#,##0);&quot;-&quot;"/>
    <numFmt numFmtId="167" formatCode="0.000"/>
    <numFmt numFmtId="168" formatCode="0.0%"/>
    <numFmt numFmtId="169" formatCode="0.0000"/>
    <numFmt numFmtId="170" formatCode="0.0&quot;x&quot;"/>
    <numFmt numFmtId="171" formatCode="0.00&quot;x&quot;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C9D3E0"/>
      <sz val="10"/>
    </font>
    <font>
      <name val="Arial"/>
      <b val="1"/>
      <color rgb="006B7280"/>
      <sz val="9"/>
    </font>
    <font>
      <name val="Arial"/>
      <b val="1"/>
      <color rgb="001B2A41"/>
      <sz val="14"/>
    </font>
    <font>
      <name val="Arial"/>
      <i val="1"/>
      <color rgb="006B7280"/>
      <sz val="9"/>
    </font>
    <font>
      <name val="Arial"/>
      <color rgb="00FFFFFF"/>
      <sz val="8"/>
    </font>
    <font>
      <name val="Arial"/>
      <b val="1"/>
      <color rgb="006B7280"/>
      <sz val="8"/>
    </font>
    <font>
      <name val="Arial"/>
      <b val="1"/>
      <color rgb="001B2A41"/>
      <sz val="18"/>
    </font>
    <font>
      <name val="Arial"/>
      <color rgb="006B7280"/>
      <sz val="8"/>
    </font>
    <font>
      <name val="Arial"/>
      <b val="1"/>
      <color rgb="002E6DB4"/>
      <u val="single"/>
    </font>
    <font>
      <name val="Arial"/>
      <color rgb="001F2937"/>
    </font>
    <font>
      <name val="Arial"/>
      <color rgb="000000FF"/>
    </font>
    <font>
      <name val="Arial"/>
    </font>
    <font>
      <name val="Arial"/>
      <color rgb="001F2937"/>
      <sz val="9"/>
    </font>
    <font>
      <name val="Arial"/>
      <color rgb="006B7280"/>
      <sz val="9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</font>
    <font>
      <name val="Arial"/>
      <color rgb="00008000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FFD166"/>
      <sz val="10"/>
    </font>
    <font>
      <name val="Arial"/>
      <b val="1"/>
      <color rgb="001B2A41"/>
    </font>
  </fonts>
  <fills count="7">
    <fill>
      <patternFill/>
    </fill>
    <fill>
      <patternFill patternType="gray125"/>
    </fill>
    <fill>
      <patternFill patternType="solid">
        <fgColor rgb="00FFF4B8"/>
      </patternFill>
    </fill>
    <fill>
      <patternFill patternType="solid">
        <fgColor rgb="00F3F5F8"/>
      </patternFill>
    </fill>
    <fill>
      <patternFill patternType="solid">
        <fgColor rgb="00E7F0FA"/>
      </patternFill>
    </fill>
    <fill>
      <patternFill patternType="solid">
        <fgColor rgb="001B2A41"/>
      </patternFill>
    </fill>
    <fill>
      <patternFill patternType="solid">
        <fgColor rgb="00E9EDF2"/>
      </patternFill>
    </fill>
  </fills>
  <borders count="4">
    <border>
      <left/>
      <right/>
      <top/>
      <bottom/>
      <diagonal/>
    </border>
    <border>
      <top style="thin"/>
    </border>
    <border>
      <bottom style="thin">
        <color rgb="00D9DEE5"/>
      </bottom>
    </border>
    <border>
      <top style="thin">
        <color rgb="002E6DB4"/>
      </top>
      <bottom style="thin">
        <color rgb="002E6DB4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164" fontId="9" fillId="0" borderId="0" pivotButton="0" quotePrefix="0" xfId="0"/>
    <xf numFmtId="0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5" fontId="8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66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3" fillId="2" borderId="0" pivotButton="0" quotePrefix="0" xfId="0"/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2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21" fillId="5" borderId="0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18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13" fillId="0" borderId="2" applyAlignment="1" pivotButton="0" quotePrefix="0" xfId="0">
      <alignment vertical="top"/>
    </xf>
    <xf numFmtId="4" fontId="12" fillId="0" borderId="2" applyAlignment="1" pivotButton="0" quotePrefix="0" xfId="0">
      <alignment vertical="top"/>
    </xf>
    <xf numFmtId="4" fontId="12" fillId="2" borderId="2" applyAlignment="1" pivotButton="0" quotePrefix="0" xfId="0">
      <alignment vertical="top"/>
    </xf>
    <xf numFmtId="4" fontId="13" fillId="0" borderId="2" applyAlignment="1" pivotButton="0" quotePrefix="0" xfId="0">
      <alignment vertical="top"/>
    </xf>
    <xf numFmtId="166" fontId="12" fillId="0" borderId="2" applyAlignment="1" pivotButton="0" quotePrefix="0" xfId="0">
      <alignment vertical="top"/>
    </xf>
    <xf numFmtId="166" fontId="12" fillId="2" borderId="2" applyAlignment="1" pivotButton="0" quotePrefix="0" xfId="0">
      <alignment vertical="top"/>
    </xf>
    <xf numFmtId="166" fontId="13" fillId="0" borderId="2" applyAlignment="1" pivotButton="0" quotePrefix="0" xfId="0">
      <alignment vertical="top"/>
    </xf>
    <xf numFmtId="10" fontId="12" fillId="0" borderId="2" applyAlignment="1" pivotButton="0" quotePrefix="0" xfId="0">
      <alignment vertical="top"/>
    </xf>
    <xf numFmtId="10" fontId="12" fillId="2" borderId="2" applyAlignment="1" pivotButton="0" quotePrefix="0" xfId="0">
      <alignment vertical="top"/>
    </xf>
    <xf numFmtId="10" fontId="13" fillId="0" borderId="2" applyAlignment="1" pivotButton="0" quotePrefix="0" xfId="0">
      <alignment vertical="top"/>
    </xf>
    <xf numFmtId="167" fontId="12" fillId="0" borderId="2" applyAlignment="1" pivotButton="0" quotePrefix="0" xfId="0">
      <alignment vertical="top"/>
    </xf>
    <xf numFmtId="167" fontId="12" fillId="2" borderId="2" applyAlignment="1" pivotButton="0" quotePrefix="0" xfId="0">
      <alignment vertical="top"/>
    </xf>
    <xf numFmtId="167" fontId="13" fillId="0" borderId="2" applyAlignment="1" pivotButton="0" quotePrefix="0" xfId="0">
      <alignment vertical="top"/>
    </xf>
    <xf numFmtId="0" fontId="22" fillId="5" borderId="0" applyAlignment="1" pivotButton="0" quotePrefix="0" xfId="0">
      <alignment vertical="top"/>
    </xf>
    <xf numFmtId="168" fontId="12" fillId="0" borderId="2" applyAlignment="1" pivotButton="0" quotePrefix="0" xfId="0">
      <alignment vertical="top"/>
    </xf>
    <xf numFmtId="168" fontId="23" fillId="4" borderId="3" applyAlignment="1" pivotButton="0" quotePrefix="0" xfId="0">
      <alignment vertical="top"/>
    </xf>
    <xf numFmtId="0" fontId="17" fillId="0" borderId="2" applyAlignment="1" pivotButton="0" quotePrefix="0" xfId="0">
      <alignment vertical="top"/>
    </xf>
    <xf numFmtId="168" fontId="13" fillId="0" borderId="2" applyAlignment="1" pivotButton="0" quotePrefix="0" xfId="0">
      <alignment vertical="top"/>
    </xf>
    <xf numFmtId="0" fontId="16" fillId="0" borderId="2" applyAlignment="1" pivotButton="0" quotePrefix="0" xfId="0">
      <alignment vertical="top"/>
    </xf>
    <xf numFmtId="0" fontId="12" fillId="0" borderId="2" applyAlignment="1" pivotButton="0" quotePrefix="0" xfId="0">
      <alignment vertical="top"/>
    </xf>
    <xf numFmtId="2" fontId="18" fillId="0" borderId="2" applyAlignment="1" pivotButton="0" quotePrefix="0" xfId="0">
      <alignment vertical="top"/>
    </xf>
    <xf numFmtId="9" fontId="13" fillId="0" borderId="2" applyAlignment="1" pivotButton="0" quotePrefix="0" xfId="0">
      <alignment vertical="top"/>
    </xf>
    <xf numFmtId="1" fontId="13" fillId="0" borderId="2" applyAlignment="1" pivotButton="0" quotePrefix="0" xfId="0">
      <alignment vertical="top"/>
    </xf>
    <xf numFmtId="0" fontId="23" fillId="4" borderId="3" applyAlignment="1" pivotButton="0" quotePrefix="0" xfId="0">
      <alignment vertical="top"/>
    </xf>
    <xf numFmtId="166" fontId="18" fillId="0" borderId="2" applyAlignment="1" pivotButton="0" quotePrefix="0" xfId="0">
      <alignment vertical="top"/>
    </xf>
    <xf numFmtId="167" fontId="23" fillId="4" borderId="3" applyAlignment="1" pivotButton="0" quotePrefix="0" xfId="0">
      <alignment vertical="top"/>
    </xf>
    <xf numFmtId="10" fontId="23" fillId="4" borderId="3" applyAlignment="1" pivotButton="0" quotePrefix="0" xfId="0">
      <alignment vertical="top"/>
    </xf>
    <xf numFmtId="166" fontId="19" fillId="0" borderId="2" applyAlignment="1" pivotButton="0" quotePrefix="0" xfId="0">
      <alignment vertical="top"/>
    </xf>
    <xf numFmtId="169" fontId="13" fillId="0" borderId="2" applyAlignment="1" pivotButton="0" quotePrefix="0" xfId="0">
      <alignment vertical="top"/>
    </xf>
    <xf numFmtId="2" fontId="13" fillId="0" borderId="2" applyAlignment="1" pivotButton="0" quotePrefix="0" xfId="0">
      <alignment vertical="top"/>
    </xf>
    <xf numFmtId="166" fontId="23" fillId="4" borderId="3" applyAlignment="1" pivotButton="0" quotePrefix="0" xfId="0">
      <alignment vertical="top"/>
    </xf>
    <xf numFmtId="164" fontId="23" fillId="4" borderId="3" applyAlignment="1" pivotButton="0" quotePrefix="0" xfId="0">
      <alignment vertical="top"/>
    </xf>
    <xf numFmtId="164" fontId="13" fillId="0" borderId="2" applyAlignment="1" pivotButton="0" quotePrefix="0" xfId="0">
      <alignment vertical="top"/>
    </xf>
    <xf numFmtId="164" fontId="19" fillId="0" borderId="2" applyAlignment="1" pivotButton="0" quotePrefix="0" xfId="0">
      <alignment vertical="top"/>
    </xf>
    <xf numFmtId="9" fontId="12" fillId="0" borderId="2" applyAlignment="1" pivotButton="0" quotePrefix="0" xfId="0">
      <alignment vertical="top"/>
    </xf>
    <xf numFmtId="164" fontId="12" fillId="0" borderId="2" applyAlignment="1" pivotButton="0" quotePrefix="0" xfId="0">
      <alignment vertical="top"/>
    </xf>
    <xf numFmtId="170" fontId="12" fillId="0" borderId="2" applyAlignment="1" pivotButton="0" quotePrefix="0" xfId="0">
      <alignment vertical="top"/>
    </xf>
    <xf numFmtId="170" fontId="13" fillId="0" borderId="2" applyAlignment="1" pivotButton="0" quotePrefix="0" xfId="0">
      <alignment vertical="top"/>
    </xf>
    <xf numFmtId="171" fontId="12" fillId="0" borderId="2" applyAlignment="1" pivotButton="0" quotePrefix="0" xfId="0">
      <alignment vertical="top"/>
    </xf>
    <xf numFmtId="0" fontId="17" fillId="6" borderId="0" applyAlignment="1" pivotButton="0" quotePrefix="0" xfId="0">
      <alignment vertical="top"/>
    </xf>
    <xf numFmtId="169" fontId="12" fillId="0" borderId="2" applyAlignment="1" pivotButton="0" quotePrefix="0" xfId="0">
      <alignment vertical="top"/>
    </xf>
    <xf numFmtId="2" fontId="12" fillId="0" borderId="2" applyAlignment="1" pivotButton="0" quotePrefix="0" xfId="0">
      <alignment vertical="top"/>
    </xf>
  </cellXfs>
  <cellStyles count="1">
    <cellStyle name="Normal" xfId="0" builtinId="0" hidden="0"/>
  </cellStyles>
  <dxfs count="8">
    <dxf>
      <font>
        <name val="Arial"/>
        <b val="1"/>
        <color rgb="001E7B4A"/>
        <sz val="18"/>
      </font>
    </dxf>
    <dxf>
      <font>
        <name val="Arial"/>
        <b val="1"/>
        <color rgb="00B42318"/>
        <sz val="18"/>
      </font>
    </dxf>
    <dxf>
      <font>
        <name val="Arial"/>
        <b val="1"/>
        <color rgb="00FFFFFF"/>
        <sz val="15"/>
      </font>
      <fill>
        <patternFill patternType="solid">
          <fgColor rgb="001E7B4A"/>
        </patternFill>
      </fill>
    </dxf>
    <dxf>
      <font>
        <name val="Arial"/>
        <b val="1"/>
        <color rgb="00FFFFFF"/>
        <sz val="15"/>
      </font>
      <fill>
        <patternFill patternType="solid">
          <fgColor rgb="00B42318"/>
        </patternFill>
      </fill>
    </dxf>
    <dxf>
      <font>
        <name val="Arial"/>
        <b val="1"/>
        <color rgb="00FFFFFF"/>
        <sz val="15"/>
      </font>
      <fill>
        <patternFill patternType="solid">
          <fgColor rgb="00B7791F"/>
        </patternFill>
      </fill>
    </dxf>
    <dxf>
      <font>
        <name val="Arial"/>
        <b val="1"/>
        <color rgb="00FFFFFF"/>
        <sz val="15"/>
      </font>
      <fill>
        <patternFill patternType="solid">
          <fgColor rgb="006B7280"/>
        </patternFill>
      </fill>
    </dxf>
    <dxf>
      <font>
        <name val="Arial"/>
        <b val="1"/>
        <color rgb="005B9A5B"/>
        <sz val="18"/>
      </font>
    </dxf>
    <dxf>
      <font>
        <name val="Arial"/>
        <b val="1"/>
        <color rgb="00B7791F"/>
        <sz val="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per share vs price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'Dashboard'!U4</f>
            </strRef>
          </tx>
          <spPr>
            <a:solidFill xmlns:a="http://schemas.openxmlformats.org/drawingml/2006/main">
              <a:srgbClr val="2E6DB4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'Dashboard'!$T$5:$T$9</f>
            </numRef>
          </cat>
          <val>
            <numRef>
              <f>'Dashboard'!$U$5:$U$9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'Dashboard'!V4</f>
            </strRef>
          </tx>
          <spPr>
            <a:ln xmlns:a="http://schemas.openxmlformats.org/drawingml/2006/main">
              <a:solidFill>
                <a:srgbClr val="B4231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'Dashboard'!$V$5:$V$9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Free cash flow, $m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B2A41"/>
            </a:solidFill>
            <a:ln xmlns:a="http://schemas.openxmlformats.org/drawingml/2006/main">
              <a:prstDash val="solid"/>
            </a:ln>
          </spPr>
          <cat>
            <numRef>
              <f>'2 Cash flows'!$D$4:$M$4</f>
            </numRef>
          </cat>
          <val>
            <numRef>
              <f>'2 Cash flows'!$D$20:$M$20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 vs terminal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6DB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8C5E6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'Dashboard'!$T$12:$T$13</f>
            </numRef>
          </cat>
          <val>
            <numRef>
              <f>'Dashboard'!$U$12:$U$13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10</row>
      <rowOff>0</rowOff>
    </from>
    <ext cx="30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 History'!A1" TargetMode="External" Id="rId1"/><Relationship Type="http://schemas.openxmlformats.org/officeDocument/2006/relationships/hyperlink" Target="#'2 Cash flows'!A1" TargetMode="External" Id="rId2"/><Relationship Type="http://schemas.openxmlformats.org/officeDocument/2006/relationships/hyperlink" Target="#'3 Discount rate'!A1" TargetMode="External" Id="rId3"/><Relationship Type="http://schemas.openxmlformats.org/officeDocument/2006/relationships/hyperlink" Target="#'4 Discount'!A1" TargetMode="External" Id="rId4"/><Relationship Type="http://schemas.openxmlformats.org/officeDocument/2006/relationships/hyperlink" Target="#'5 Price'!A1" TargetMode="External" Id="rId5"/><Relationship Type="http://schemas.openxmlformats.org/officeDocument/2006/relationships/hyperlink" Target="#'6 Verdict'!A1" TargetMode="External" Id="rId6"/><Relationship Type="http://schemas.openxmlformats.org/officeDocument/2006/relationships/hyperlink" Target="#'Inputs'!A1" TargetMode="External" Id="rId7"/><Relationship Type="http://schemas.openxmlformats.org/officeDocument/2006/relationships/hyperlink" Target="#'Scenarios'!A1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tabColor rgb="001B2A41"/>
    <outlinePr summaryBelow="1" summaryRight="1"/>
    <pageSetUpPr fitToPage="1"/>
  </sheetPr>
  <dimension ref="A1:V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2" customWidth="1" min="20" max="20"/>
    <col width="12" customWidth="1" min="21" max="21"/>
    <col width="12" customWidth="1" min="22" max="22"/>
  </cols>
  <sheetData>
    <row r="1" ht="30" customHeight="1">
      <c r="A1" s="1" t="n"/>
      <c r="B1" s="2" t="inlineStr">
        <is>
          <t>Sandisk Corporation  ·  SNDK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18" customHeight="1">
      <c r="A2" s="1" t="n"/>
      <c r="B2" s="3" t="inlineStr">
        <is>
          <t>Valuation framework  ·  FCFF DCF  ·  valuation date 2026-10-20  ·  USD millions except per share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T3" s="4" t="inlineStr">
        <is>
          <t>chart data (live)</t>
        </is>
      </c>
    </row>
    <row r="4">
      <c r="B4" s="5" t="inlineStr">
        <is>
          <t>SCENARIO</t>
        </is>
      </c>
      <c r="P4" s="6">
        <f>IF(scen_name="Bear",1,IF(scen_name="Bull",3,2))</f>
        <v/>
      </c>
      <c r="T4" s="4" t="inlineStr">
        <is>
          <t>Method</t>
        </is>
      </c>
      <c r="U4" s="4" t="inlineStr">
        <is>
          <t>Value</t>
        </is>
      </c>
      <c r="V4" s="4" t="inlineStr">
        <is>
          <t>Price</t>
        </is>
      </c>
    </row>
    <row r="5" ht="24" customHeight="1">
      <c r="B5" s="7" t="inlineStr">
        <is>
          <t>Base</t>
        </is>
      </c>
      <c r="C5" s="8" t="inlineStr">
        <is>
          <t>◂ pick Bear, Base or Bull; every sheet re-values</t>
        </is>
      </c>
      <c r="T5" s="4" t="inlineStr">
        <is>
          <t>DCF</t>
        </is>
      </c>
      <c r="U5" s="9">
        <f>model_ps</f>
        <v/>
      </c>
      <c r="V5" s="9">
        <f>px_now</f>
        <v/>
      </c>
    </row>
    <row r="6">
      <c r="T6" s="4" t="inlineStr">
        <is>
          <t>Monte Carlo</t>
        </is>
      </c>
      <c r="U6" s="9">
        <f>'6 Verdict'!B6</f>
        <v/>
      </c>
      <c r="V6" s="9">
        <f>px_now</f>
        <v/>
      </c>
    </row>
    <row r="7" ht="16" customHeight="1">
      <c r="B7" s="10" t="inlineStr">
        <is>
          <t>FAIR VALUE / SHARE</t>
        </is>
      </c>
      <c r="D7" s="10" t="inlineStr">
        <is>
          <t>SHARE PRICE</t>
        </is>
      </c>
      <c r="F7" s="10" t="inlineStr">
        <is>
          <t>UPSIDE</t>
        </is>
      </c>
      <c r="H7" s="10" t="inlineStr">
        <is>
          <t>CALL</t>
        </is>
      </c>
      <c r="J7" s="10" t="inlineStr">
        <is>
          <t>EXPECTED ALPHA</t>
        </is>
      </c>
      <c r="L7" s="10" t="inlineStr">
        <is>
          <t>DISCOUNT RATE</t>
        </is>
      </c>
      <c r="N7" s="10" t="inlineStr">
        <is>
          <t>EARNINGS QUALITY</t>
        </is>
      </c>
      <c r="T7" s="4" t="inlineStr">
        <is>
          <t>Comps</t>
        </is>
      </c>
      <c r="U7" s="9">
        <f>comps_ps</f>
        <v/>
      </c>
      <c r="V7" s="9">
        <f>px_now</f>
        <v/>
      </c>
    </row>
    <row r="8" ht="34" customHeight="1">
      <c r="B8" s="11">
        <f>fair</f>
        <v/>
      </c>
      <c r="D8" s="11">
        <f>px_now</f>
        <v/>
      </c>
      <c r="F8" s="12">
        <f>upside</f>
        <v/>
      </c>
      <c r="H8" s="13">
        <f>v_call</f>
        <v/>
      </c>
      <c r="J8" s="12">
        <f>alpha</f>
        <v/>
      </c>
      <c r="L8" s="14">
        <f>disc_rate</f>
        <v/>
      </c>
      <c r="N8" s="13">
        <f>eq_grade</f>
        <v/>
      </c>
      <c r="T8" s="4" t="inlineStr">
        <is>
          <t>Regression</t>
        </is>
      </c>
      <c r="U8" s="9">
        <f>IF(ISNUMBER(reg_ps),reg_ps,0)</f>
        <v/>
      </c>
      <c r="V8" s="9">
        <f>px_now</f>
        <v/>
      </c>
    </row>
    <row r="9" ht="15" customHeight="1">
      <c r="B9" s="15" t="inlineStr">
        <is>
          <t>blended, step 6</t>
        </is>
      </c>
      <c r="D9" s="15" t="inlineStr">
        <is>
          <t>2026-10-20</t>
        </is>
      </c>
      <c r="F9" s="15" t="inlineStr">
        <is>
          <t>fair ÷ price − 1</t>
        </is>
      </c>
      <c r="H9" s="15" t="inlineStr">
        <is>
          <t>±10% band</t>
        </is>
      </c>
      <c r="J9" s="15" t="inlineStr">
        <is>
          <t>1-year, vs Ke</t>
        </is>
      </c>
      <c r="L9" s="15" t="inlineStr">
        <is>
          <t>WACC</t>
        </is>
      </c>
      <c r="N9" s="15" t="inlineStr">
        <is>
          <t>grade A–D, step 1</t>
        </is>
      </c>
      <c r="T9" s="4" t="inlineStr">
        <is>
          <t>Blended</t>
        </is>
      </c>
      <c r="U9" s="9">
        <f>fair</f>
        <v/>
      </c>
      <c r="V9" s="9">
        <f>px_now</f>
        <v/>
      </c>
    </row>
    <row r="11">
      <c r="T11" s="4" t="inlineStr">
        <is>
          <t>Present value of</t>
        </is>
      </c>
    </row>
    <row r="12">
      <c r="T12" s="4" t="inlineStr">
        <is>
          <t>Forecast years</t>
        </is>
      </c>
      <c r="U12" s="16">
        <f>pv_sum</f>
        <v/>
      </c>
    </row>
    <row r="13">
      <c r="T13" s="4" t="inlineStr">
        <is>
          <t>Terminal value</t>
        </is>
      </c>
      <c r="U13" s="16">
        <f>pv_tv</f>
        <v/>
      </c>
    </row>
    <row r="31">
      <c r="B31" s="5" t="inlineStr">
        <is>
          <t>HOW TO USE</t>
        </is>
      </c>
    </row>
    <row r="32">
      <c r="B32" s="17" t="inlineStr">
        <is>
          <t>1 History</t>
        </is>
      </c>
      <c r="C32" s="18" t="inlineStr">
        <is>
          <t>historic performance and earnings quality</t>
        </is>
      </c>
    </row>
    <row r="33">
      <c r="B33" s="17" t="inlineStr">
        <is>
          <t>2 Cash flows</t>
        </is>
      </c>
      <c r="C33" s="18" t="inlineStr">
        <is>
          <t>the forecast that produces the cash flows</t>
        </is>
      </c>
    </row>
    <row r="34">
      <c r="B34" s="17" t="inlineStr">
        <is>
          <t>3 Discount rate</t>
        </is>
      </c>
      <c r="C34" s="18" t="inlineStr">
        <is>
          <t>rf, Rm, MRP, beta from daily returns, Ke, WACC</t>
        </is>
      </c>
    </row>
    <row r="35">
      <c r="B35" s="17" t="inlineStr">
        <is>
          <t>4 Discount</t>
        </is>
      </c>
      <c r="C35" s="18" t="inlineStr">
        <is>
          <t>present values and the terminal value</t>
        </is>
      </c>
    </row>
    <row r="36">
      <c r="B36" s="17" t="inlineStr">
        <is>
          <t>5 Price</t>
        </is>
      </c>
      <c r="C36" s="18" t="inlineStr">
        <is>
          <t>enterprise value → equity value → ÷ shares → price</t>
        </is>
      </c>
    </row>
    <row r="37">
      <c r="B37" s="17" t="inlineStr">
        <is>
          <t>6 Verdict</t>
        </is>
      </c>
      <c r="C37" s="18" t="inlineStr">
        <is>
          <t>methods blended into the call and expected alpha</t>
        </is>
      </c>
    </row>
    <row r="38">
      <c r="B38" s="17" t="inlineStr">
        <is>
          <t>Inputs</t>
        </is>
      </c>
      <c r="C38" s="18" t="inlineStr">
        <is>
          <t>every input: pulled value, your value (yellow), source</t>
        </is>
      </c>
    </row>
    <row r="39">
      <c r="B39" s="17" t="inlineStr">
        <is>
          <t>Scenarios</t>
        </is>
      </c>
      <c r="C39" s="18" t="inlineStr">
        <is>
          <t>Bear / Base / Bull drivers</t>
        </is>
      </c>
    </row>
    <row r="41">
      <c r="B41" s="5" t="inlineStr">
        <is>
          <t>COLOUR CODE</t>
        </is>
      </c>
    </row>
    <row r="42">
      <c r="B42" s="19" t="inlineStr">
        <is>
          <t>123</t>
        </is>
      </c>
      <c r="C42" s="20" t="inlineStr">
        <is>
          <t>blue: typed input or pulled data</t>
        </is>
      </c>
    </row>
    <row r="43">
      <c r="B43" s="20" t="inlineStr">
        <is>
          <t>123</t>
        </is>
      </c>
      <c r="C43" s="20" t="inlineStr">
        <is>
          <t>black: formula</t>
        </is>
      </c>
    </row>
    <row r="44">
      <c r="B44" s="21" t="inlineStr"/>
      <c r="C44" s="20" t="inlineStr">
        <is>
          <t>yellow: your value (overrides the pulled one)</t>
        </is>
      </c>
    </row>
    <row r="45">
      <c r="B45" s="22" t="inlineStr"/>
      <c r="C45" s="20" t="inlineStr">
        <is>
          <t>pale blue: key result of a step</t>
        </is>
      </c>
    </row>
    <row r="47">
      <c r="B47" s="5" t="inlineStr">
        <is>
          <t>SOURCES</t>
        </is>
      </c>
    </row>
    <row r="48">
      <c r="B48" s="23" t="inlineStr">
        <is>
          <t>Price, market cap, shares, beta (5Y), forward P/E, EV multiples, debt, cash, EBITDA, revenue (TTM), targets</t>
        </is>
      </c>
      <c r="I48" s="24" t="inlineStr">
        <is>
          <t>Yahoo Finance quoteSummary, 2026-10-20</t>
        </is>
      </c>
    </row>
    <row r="49">
      <c r="B49" s="23" t="inlineStr">
        <is>
          <t>Annual and quarterly statements</t>
        </is>
      </c>
      <c r="I49" s="24" t="inlineStr">
        <is>
          <t>Yahoo Finance fundamentals-timeseries, 2026-10-20</t>
        </is>
      </c>
    </row>
    <row r="50">
      <c r="B50" s="23" t="inlineStr">
        <is>
          <t>Daily prices and beta regression</t>
        </is>
      </c>
      <c r="I50" s="24" t="inlineStr">
        <is>
          <t>Yahoo Finance chart API (adjusted closes) for SNDK and ^GSPC, 2025-02-14 to 2026-10-20</t>
        </is>
      </c>
    </row>
    <row r="51">
      <c r="B51" s="23" t="inlineStr">
        <is>
          <t>Risk-free rate</t>
        </is>
      </c>
      <c r="I51" s="24" t="inlineStr">
        <is>
          <t>^TNX (10-year Treasury yield) 5.117%, 2026-10-20</t>
        </is>
      </c>
    </row>
    <row r="52">
      <c r="B52" s="23" t="inlineStr">
        <is>
          <t>Equity risk premium</t>
        </is>
      </c>
      <c r="I52" s="24" t="inlineStr">
        <is>
          <t>Damodaran implied ERP, Jan-2026 (assumption, editable)</t>
        </is>
      </c>
    </row>
    <row r="53">
      <c r="B53" s="23" t="inlineStr">
        <is>
          <t>Cost of debt</t>
        </is>
      </c>
      <c r="I53" s="24" t="inlineStr">
        <is>
          <t>Synthetic rating AAA from interest coverage 170.8x (Damodaran large-firm table)</t>
        </is>
      </c>
    </row>
    <row r="54">
      <c r="B54" s="23" t="inlineStr">
        <is>
          <t>Peers</t>
        </is>
      </c>
      <c r="I54" s="24" t="inlineStr">
        <is>
          <t>Yahoo related symbols: 000660.KS, 005930.KS, 285A.T, MU, STX, WDC</t>
        </is>
      </c>
    </row>
  </sheetData>
  <mergeCells count="21">
    <mergeCell ref="L7:M7"/>
    <mergeCell ref="B7:C7"/>
    <mergeCell ref="N7:O7"/>
    <mergeCell ref="H9:I9"/>
    <mergeCell ref="F7:G7"/>
    <mergeCell ref="J9:K9"/>
    <mergeCell ref="L8:M8"/>
    <mergeCell ref="B8:C8"/>
    <mergeCell ref="N8:O8"/>
    <mergeCell ref="F8:G8"/>
    <mergeCell ref="D7:E7"/>
    <mergeCell ref="H7:I7"/>
    <mergeCell ref="J7:K7"/>
    <mergeCell ref="B9:C9"/>
    <mergeCell ref="D9:E9"/>
    <mergeCell ref="F9:G9"/>
    <mergeCell ref="L9:M9"/>
    <mergeCell ref="D8:E8"/>
    <mergeCell ref="N9:O9"/>
    <mergeCell ref="H8:I8"/>
    <mergeCell ref="J8:K8"/>
  </mergeCells>
  <conditionalFormatting sqref="F8">
    <cfRule type="expression" priority="1" dxfId="0">
      <formula>F8&gt;0</formula>
    </cfRule>
    <cfRule type="expression" priority="2" dxfId="1">
      <formula>F8&lt;0</formula>
    </cfRule>
  </conditionalFormatting>
  <conditionalFormatting sqref="H8">
    <cfRule type="expression" priority="3" dxfId="2">
      <formula>H8="UNDERVALUED"</formula>
    </cfRule>
    <cfRule type="expression" priority="4" dxfId="3">
      <formula>H8="OVERVALUED"</formula>
    </cfRule>
    <cfRule type="expression" priority="5" dxfId="4">
      <formula>H8="FAIRLY VALUED"</formula>
    </cfRule>
    <cfRule type="expression" priority="6" dxfId="5">
      <formula>H8="NO CALL"</formula>
    </cfRule>
  </conditionalFormatting>
  <conditionalFormatting sqref="J8">
    <cfRule type="expression" priority="7" dxfId="0">
      <formula>J8&gt;0</formula>
    </cfRule>
    <cfRule type="expression" priority="8" dxfId="1">
      <formula>J8&lt;0</formula>
    </cfRule>
  </conditionalFormatting>
  <conditionalFormatting sqref="N8">
    <cfRule type="expression" priority="9" dxfId="0">
      <formula>N8="A"</formula>
    </cfRule>
    <cfRule type="expression" priority="10" dxfId="6">
      <formula>N8="B"</formula>
    </cfRule>
    <cfRule type="expression" priority="11" dxfId="7">
      <formula>N8="C"</formula>
    </cfRule>
    <cfRule type="expression" priority="12" dxfId="1">
      <formula>N8="D"</formula>
    </cfRule>
  </conditionalFormatting>
  <dataValidations count="1">
    <dataValidation sqref="B5" showDropDown="0" showInputMessage="0" showErrorMessage="0" allowBlank="0" errorTitle="Scenario" error="Pick Bear, Base or Bull" promptTitle="Scenario" prompt="Pick Bear, Base or Bull" type="list">
      <formula1>"Bear,Base,Bull"</formula1>
    </dataValidation>
  </dataValidations>
  <hyperlinks>
    <hyperlink xmlns:r="http://schemas.openxmlformats.org/officeDocument/2006/relationships" ref="B32" r:id="rId1"/>
    <hyperlink xmlns:r="http://schemas.openxmlformats.org/officeDocument/2006/relationships" ref="B33" r:id="rId2"/>
    <hyperlink xmlns:r="http://schemas.openxmlformats.org/officeDocument/2006/relationships" ref="B34" r:id="rId3"/>
    <hyperlink xmlns:r="http://schemas.openxmlformats.org/officeDocument/2006/relationships" ref="B35" r:id="rId4"/>
    <hyperlink xmlns:r="http://schemas.openxmlformats.org/officeDocument/2006/relationships" ref="B36" r:id="rId5"/>
    <hyperlink xmlns:r="http://schemas.openxmlformats.org/officeDocument/2006/relationships" ref="B37" r:id="rId6"/>
    <hyperlink xmlns:r="http://schemas.openxmlformats.org/officeDocument/2006/relationships" ref="B38" r:id="rId7"/>
    <hyperlink xmlns:r="http://schemas.openxmlformats.org/officeDocument/2006/relationships" ref="B39" r:id="rId8"/>
  </hyperlinks>
  <pageMargins left="0.75" right="0.75" top="1" bottom="1" header="0.5" footer="0.5"/>
  <pageSetup orientation="landscape" fitToHeight="0" fitToWidth="1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tabColor rgb="00B7791F"/>
    <outlinePr summaryBelow="1" summaryRight="1"/>
    <pageSetUpPr fitToPage="1"/>
  </sheetPr>
  <dimension ref="A1:L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2" customWidth="1" min="3" max="3"/>
    <col width="14" customWidth="1" min="4" max="4"/>
    <col width="6" customWidth="1" min="5" max="5"/>
    <col width="11" customWidth="1" min="6" max="6"/>
    <col width="10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25" t="inlineStr">
        <is>
          <t>Inputs</t>
        </is>
      </c>
      <c r="B1" s="26" t="n"/>
      <c r="C1" s="26" t="n"/>
      <c r="D1" s="26" t="n"/>
      <c r="E1" s="26" t="n"/>
      <c r="F1" s="26" t="n"/>
      <c r="G1" s="26" t="n"/>
      <c r="H1" s="1" t="n"/>
      <c r="I1" s="1" t="n"/>
      <c r="J1" s="1" t="n"/>
      <c r="K1" s="1" t="n"/>
      <c r="L1" s="1" t="n"/>
    </row>
    <row r="2" ht="16" customHeight="1">
      <c r="A2" s="27" t="inlineStr">
        <is>
          <t>Yellow = type your own value to override the pulled one. Column D is what every formula uses.</t>
        </is>
      </c>
      <c r="B2" s="28" t="n"/>
      <c r="C2" s="28" t="n"/>
      <c r="D2" s="28" t="n"/>
      <c r="E2" s="28" t="n"/>
      <c r="F2" s="28" t="n"/>
      <c r="G2" s="28" t="n"/>
      <c r="H2" s="29" t="n"/>
      <c r="I2" s="29" t="n"/>
      <c r="J2" s="29" t="n"/>
      <c r="K2" s="29" t="n"/>
      <c r="L2" s="29" t="n"/>
    </row>
    <row r="3">
      <c r="A3" s="30" t="n"/>
      <c r="B3" s="30" t="n"/>
      <c r="C3" s="30" t="n"/>
      <c r="D3" s="30" t="n"/>
      <c r="E3" s="30" t="n"/>
      <c r="F3" s="30" t="n"/>
      <c r="G3" s="30" t="n"/>
    </row>
    <row r="4">
      <c r="A4" s="31" t="inlineStr">
        <is>
          <t>Input</t>
        </is>
      </c>
      <c r="B4" s="32" t="inlineStr">
        <is>
          <t>Pulled value</t>
        </is>
      </c>
      <c r="C4" s="32" t="inlineStr">
        <is>
          <t>Your value</t>
        </is>
      </c>
      <c r="D4" s="32" t="inlineStr">
        <is>
          <t>Value used</t>
        </is>
      </c>
      <c r="E4" s="32" t="inlineStr">
        <is>
          <t>Unit</t>
        </is>
      </c>
      <c r="F4" s="32" t="inlineStr">
        <is>
          <t>Origin</t>
        </is>
      </c>
      <c r="G4" s="32" t="inlineStr">
        <is>
          <t>Source / basis</t>
        </is>
      </c>
      <c r="H4" s="33" t="n"/>
      <c r="I4" s="33" t="n"/>
      <c r="J4" s="33" t="n"/>
      <c r="K4" s="33" t="n"/>
      <c r="L4" s="33" t="n"/>
    </row>
    <row r="5">
      <c r="A5" s="34" t="inlineStr">
        <is>
          <t>Market</t>
        </is>
      </c>
      <c r="B5" s="35" t="n"/>
      <c r="C5" s="35" t="n"/>
      <c r="D5" s="35" t="n"/>
      <c r="E5" s="35" t="n"/>
      <c r="F5" s="35" t="n"/>
      <c r="G5" s="35" t="n"/>
      <c r="H5" s="33" t="n"/>
      <c r="I5" s="33" t="n"/>
      <c r="J5" s="33" t="n"/>
      <c r="K5" s="33" t="n"/>
      <c r="L5" s="33" t="n"/>
    </row>
    <row r="6">
      <c r="A6" s="36" t="inlineStr">
        <is>
          <t>Share price</t>
        </is>
      </c>
      <c r="B6" s="37" t="n">
        <v>1365.38</v>
      </c>
      <c r="C6" s="38" t="n"/>
      <c r="D6" s="39">
        <f>IF(ISBLANK(C6),B6,C6)</f>
        <v/>
      </c>
      <c r="E6" s="36" t="inlineStr">
        <is>
          <t>$</t>
        </is>
      </c>
      <c r="F6" s="36" t="inlineStr">
        <is>
          <t>sourced</t>
        </is>
      </c>
      <c r="G6" s="36" t="inlineStr">
        <is>
          <t>Yahoo Finance quoteSummary price.regularMarketPrice</t>
        </is>
      </c>
      <c r="H6" s="33" t="n"/>
      <c r="I6" s="33" t="n"/>
      <c r="J6" s="33" t="n"/>
      <c r="K6" s="33" t="n"/>
      <c r="L6" s="33" t="n"/>
    </row>
    <row r="7">
      <c r="A7" s="36" t="inlineStr">
        <is>
          <t>Shares outstanding</t>
        </is>
      </c>
      <c r="B7" s="40" t="n">
        <v>144.527564</v>
      </c>
      <c r="C7" s="41" t="n"/>
      <c r="D7" s="42">
        <f>IF(ISBLANK(C7),B7,C7)</f>
        <v/>
      </c>
      <c r="E7" s="36" t="inlineStr">
        <is>
          <t>m</t>
        </is>
      </c>
      <c r="F7" s="36" t="inlineStr">
        <is>
          <t>sourced</t>
        </is>
      </c>
      <c r="G7" s="36" t="inlineStr">
        <is>
          <t>Yahoo Finance quoteSummary defaultKeyStatistics.impliedSharesOutstanding (checked against marketCap ÷ price)</t>
        </is>
      </c>
      <c r="H7" s="33" t="n"/>
      <c r="I7" s="33" t="n"/>
      <c r="J7" s="33" t="n"/>
      <c r="K7" s="33" t="n"/>
      <c r="L7" s="33" t="n"/>
    </row>
    <row r="8">
      <c r="A8" s="36" t="inlineStr">
        <is>
          <t>Dilution (options, RSUs)</t>
        </is>
      </c>
      <c r="B8" s="40" t="n">
        <v>11</v>
      </c>
      <c r="C8" s="41" t="n"/>
      <c r="D8" s="42">
        <f>IF(ISBLANK(C8),B8,C8)</f>
        <v/>
      </c>
      <c r="E8" s="36" t="inlineStr">
        <is>
          <t>m</t>
        </is>
      </c>
      <c r="F8" s="36" t="inlineStr">
        <is>
          <t>derived</t>
        </is>
      </c>
      <c r="G8" s="36" t="inlineStr">
        <is>
          <t>Yahoo Finance fundamentals (quarterly): diluted average shares − ordinary shares, latest quarter</t>
        </is>
      </c>
      <c r="H8" s="33" t="n"/>
      <c r="I8" s="33" t="n"/>
      <c r="J8" s="33" t="n"/>
      <c r="K8" s="33" t="n"/>
      <c r="L8" s="33" t="n"/>
    </row>
    <row r="9">
      <c r="A9" s="36" t="inlineStr">
        <is>
          <t>Dividend per share (for expected return)</t>
        </is>
      </c>
      <c r="B9" s="37" t="n">
        <v>0</v>
      </c>
      <c r="C9" s="38" t="n"/>
      <c r="D9" s="39">
        <f>IF(ISBLANK(C9),B9,C9)</f>
        <v/>
      </c>
      <c r="E9" s="36" t="inlineStr">
        <is>
          <t>$</t>
        </is>
      </c>
      <c r="F9" s="36" t="inlineStr">
        <is>
          <t>sourced</t>
        </is>
      </c>
      <c r="G9" s="36" t="inlineStr">
        <is>
          <t>Yahoo Finance quoteSummary summaryDetail.dividendRate</t>
        </is>
      </c>
      <c r="H9" s="33" t="n"/>
      <c r="I9" s="33" t="n"/>
      <c r="J9" s="33" t="n"/>
      <c r="K9" s="33" t="n"/>
      <c r="L9" s="33" t="n"/>
    </row>
    <row r="10">
      <c r="A10" s="34" t="inlineStr">
        <is>
          <t>Cost of capital</t>
        </is>
      </c>
      <c r="B10" s="35" t="n"/>
      <c r="C10" s="35" t="n"/>
      <c r="D10" s="35" t="n"/>
      <c r="E10" s="35" t="n"/>
      <c r="F10" s="35" t="n"/>
      <c r="G10" s="35" t="n"/>
      <c r="H10" s="33" t="n"/>
      <c r="I10" s="33" t="n"/>
      <c r="J10" s="33" t="n"/>
      <c r="K10" s="33" t="n"/>
      <c r="L10" s="33" t="n"/>
    </row>
    <row r="11">
      <c r="A11" s="36" t="inlineStr">
        <is>
          <t>Risk-free rate: 10-year Treasury yield</t>
        </is>
      </c>
      <c r="B11" s="43" t="n">
        <v>0.05117</v>
      </c>
      <c r="C11" s="44" t="n"/>
      <c r="D11" s="45">
        <f>IF(ISBLANK(C11),B11,C11)</f>
        <v/>
      </c>
      <c r="E11" s="36" t="inlineStr">
        <is>
          <t>%</t>
        </is>
      </c>
      <c r="F11" s="36" t="inlineStr">
        <is>
          <t>sourced</t>
        </is>
      </c>
      <c r="G11" s="36" t="inlineStr">
        <is>
          <t>^TNX 10-year Treasury yield, Yahoo chart API</t>
        </is>
      </c>
      <c r="H11" s="33" t="n"/>
      <c r="I11" s="33" t="n"/>
      <c r="J11" s="33" t="n"/>
      <c r="K11" s="33" t="n"/>
      <c r="L11" s="33" t="n"/>
    </row>
    <row r="12">
      <c r="A12" s="36" t="inlineStr">
        <is>
          <t>Expected market return (Rm)</t>
        </is>
      </c>
      <c r="B12" s="43" t="n">
        <v>0.09347</v>
      </c>
      <c r="C12" s="44" t="n"/>
      <c r="D12" s="45">
        <f>IF(ISBLANK(C12),B12,C12)</f>
        <v/>
      </c>
      <c r="E12" s="36" t="inlineStr">
        <is>
          <t>%</t>
        </is>
      </c>
      <c r="F12" s="36" t="inlineStr">
        <is>
          <t>assumption</t>
        </is>
      </c>
      <c r="G12" s="36" t="inlineStr">
        <is>
          <t>rf + ERP</t>
        </is>
      </c>
      <c r="H12" s="33" t="n"/>
      <c r="I12" s="33" t="n"/>
      <c r="J12" s="33" t="n"/>
      <c r="K12" s="33" t="n"/>
      <c r="L12" s="33" t="n"/>
    </row>
    <row r="13">
      <c r="A13" s="36" t="inlineStr">
        <is>
          <t>Country risk premium</t>
        </is>
      </c>
      <c r="B13" s="43" t="n">
        <v>0</v>
      </c>
      <c r="C13" s="44" t="n"/>
      <c r="D13" s="45">
        <f>IF(ISBLANK(C13),B13,C13)</f>
        <v/>
      </c>
      <c r="E13" s="36" t="inlineStr">
        <is>
          <t>%</t>
        </is>
      </c>
      <c r="F13" s="36" t="inlineStr">
        <is>
          <t>assumption</t>
        </is>
      </c>
      <c r="G13" s="36" t="inlineStr">
        <is>
          <t>0 (US)</t>
        </is>
      </c>
      <c r="H13" s="33" t="n"/>
      <c r="I13" s="33" t="n"/>
      <c r="J13" s="33" t="n"/>
      <c r="K13" s="33" t="n"/>
      <c r="L13" s="33" t="n"/>
    </row>
    <row r="14">
      <c r="A14" s="36" t="inlineStr">
        <is>
          <t>Size premium</t>
        </is>
      </c>
      <c r="B14" s="43" t="n">
        <v>0</v>
      </c>
      <c r="C14" s="44" t="n"/>
      <c r="D14" s="45">
        <f>IF(ISBLANK(C14),B14,C14)</f>
        <v/>
      </c>
      <c r="E14" s="36" t="inlineStr">
        <is>
          <t>%</t>
        </is>
      </c>
      <c r="F14" s="36" t="inlineStr">
        <is>
          <t>setting</t>
        </is>
      </c>
      <c r="G14" s="36" t="inlineStr"/>
      <c r="H14" s="33" t="n"/>
      <c r="I14" s="33" t="n"/>
      <c r="J14" s="33" t="n"/>
      <c r="K14" s="33" t="n"/>
      <c r="L14" s="33" t="n"/>
    </row>
    <row r="15">
      <c r="A15" s="36" t="inlineStr">
        <is>
          <t>Beta used: daily_adj, daily, blume, raw, crsp_monthly(_adj), bottom_up, custom</t>
        </is>
      </c>
      <c r="B15" s="46" t="inlineStr">
        <is>
          <t>daily_adj</t>
        </is>
      </c>
      <c r="C15" s="47" t="n"/>
      <c r="D15" s="48">
        <f>IF(ISBLANK(C15),B15,C15)</f>
        <v/>
      </c>
      <c r="E15" s="36" t="inlineStr"/>
      <c r="F15" s="36" t="inlineStr">
        <is>
          <t>setting</t>
        </is>
      </c>
      <c r="G15" s="36" t="inlineStr"/>
      <c r="H15" s="33" t="n"/>
      <c r="I15" s="33" t="n"/>
      <c r="J15" s="33" t="n"/>
      <c r="K15" s="33" t="n"/>
      <c r="L15" s="33" t="n"/>
    </row>
    <row r="16">
      <c r="A16" s="36" t="inlineStr">
        <is>
          <t>Beta, published 5-year monthly</t>
        </is>
      </c>
      <c r="B16" s="46" t="n">
        <v>2.851147072798057</v>
      </c>
      <c r="C16" s="47" t="n"/>
      <c r="D16" s="48">
        <f>IF(ISBLANK(C16),B16,C16)</f>
        <v/>
      </c>
      <c r="E16" s="36" t="inlineStr"/>
      <c r="F16" s="36" t="inlineStr">
        <is>
          <t>sourced</t>
        </is>
      </c>
      <c r="G16" s="36" t="inlineStr">
        <is>
          <t>Yahoo Finance quoteSummary summaryDetail.beta (5Y monthly)</t>
        </is>
      </c>
      <c r="H16" s="33" t="n"/>
      <c r="I16" s="33" t="n"/>
      <c r="J16" s="33" t="n"/>
      <c r="K16" s="33" t="n"/>
      <c r="L16" s="33" t="n"/>
    </row>
    <row r="17">
      <c r="A17" s="36" t="inlineStr">
        <is>
          <t>Beta, daily regression (used only if Beta data is empty)</t>
        </is>
      </c>
      <c r="B17" s="46" t="n">
        <v>2.851147072798057</v>
      </c>
      <c r="C17" s="47" t="n"/>
      <c r="D17" s="48">
        <f>IF(ISBLANK(C17),B17,C17)</f>
        <v/>
      </c>
      <c r="E17" s="36" t="inlineStr"/>
      <c r="F17" s="36" t="inlineStr">
        <is>
          <t>setting</t>
        </is>
      </c>
      <c r="G17" s="36" t="inlineStr"/>
      <c r="H17" s="33" t="n"/>
      <c r="I17" s="33" t="n"/>
      <c r="J17" s="33" t="n"/>
      <c r="K17" s="33" t="n"/>
      <c r="L17" s="33" t="n"/>
    </row>
    <row r="18">
      <c r="A18" s="36" t="inlineStr">
        <is>
          <t>Beta, CRSP monthly regression</t>
        </is>
      </c>
      <c r="B18" s="46" t="n"/>
      <c r="C18" s="47" t="n"/>
      <c r="D18" s="48">
        <f>IF(ISBLANK(C18),B18,C18)</f>
        <v/>
      </c>
      <c r="E18" s="36" t="inlineStr"/>
      <c r="F18" s="36" t="inlineStr">
        <is>
          <t>setting</t>
        </is>
      </c>
      <c r="G18" s="36" t="inlineStr"/>
      <c r="H18" s="33" t="n"/>
      <c r="I18" s="33" t="n"/>
      <c r="J18" s="33" t="n"/>
      <c r="K18" s="33" t="n"/>
      <c r="L18" s="33" t="n"/>
    </row>
    <row r="19">
      <c r="A19" s="36" t="inlineStr">
        <is>
          <t>Beta, custom</t>
        </is>
      </c>
      <c r="B19" s="46" t="n">
        <v>2.851147072798057</v>
      </c>
      <c r="C19" s="47" t="n"/>
      <c r="D19" s="48">
        <f>IF(ISBLANK(C19),B19,C19)</f>
        <v/>
      </c>
      <c r="E19" s="36" t="inlineStr"/>
      <c r="F19" s="36" t="inlineStr">
        <is>
          <t>derived</t>
        </is>
      </c>
      <c r="G19" s="36" t="inlineStr">
        <is>
          <t>copy of daily regression beta</t>
        </is>
      </c>
      <c r="H19" s="33" t="n"/>
      <c r="I19" s="33" t="n"/>
      <c r="J19" s="33" t="n"/>
      <c r="K19" s="33" t="n"/>
      <c r="L19" s="33" t="n"/>
    </row>
    <row r="20">
      <c r="A20" s="36" t="inlineStr">
        <is>
          <t>Beta, bottom-up from peers (relevered)</t>
        </is>
      </c>
      <c r="B20" s="46" t="n">
        <v>2.155556266134315</v>
      </c>
      <c r="C20" s="47" t="n"/>
      <c r="D20" s="48">
        <f>IF(ISBLANK(C20),B20,C20)</f>
        <v/>
      </c>
      <c r="E20" s="36" t="inlineStr"/>
      <c r="F20" s="36" t="inlineStr">
        <is>
          <t>formula</t>
        </is>
      </c>
      <c r="G20" s="36" t="inlineStr">
        <is>
          <t>median unlevered peer beta, relevered at this company's D/E</t>
        </is>
      </c>
      <c r="H20" s="33" t="n"/>
      <c r="I20" s="33" t="n"/>
      <c r="J20" s="33" t="n"/>
      <c r="K20" s="33" t="n"/>
      <c r="L20" s="33" t="n"/>
    </row>
    <row r="21">
      <c r="A21" s="36" t="inlineStr">
        <is>
          <t>Pre-tax cost of debt</t>
        </is>
      </c>
      <c r="B21" s="43" t="n">
        <v>0.05707</v>
      </c>
      <c r="C21" s="44" t="n"/>
      <c r="D21" s="45">
        <f>IF(ISBLANK(C21),B21,C21)</f>
        <v/>
      </c>
      <c r="E21" s="36" t="inlineStr">
        <is>
          <t>%</t>
        </is>
      </c>
      <c r="F21" s="36" t="inlineStr">
        <is>
          <t>derived</t>
        </is>
      </c>
      <c r="G21" s="36" t="inlineStr">
        <is>
          <t>rf + AAA spread; coverage = operating income ÷ interest expense</t>
        </is>
      </c>
      <c r="H21" s="33" t="n"/>
      <c r="I21" s="33" t="n"/>
      <c r="J21" s="33" t="n"/>
      <c r="K21" s="33" t="n"/>
      <c r="L21" s="33" t="n"/>
    </row>
    <row r="22">
      <c r="A22" s="36" t="inlineStr">
        <is>
          <t>Marginal tax rate</t>
        </is>
      </c>
      <c r="B22" s="43" t="n">
        <v>0.21</v>
      </c>
      <c r="C22" s="44" t="n"/>
      <c r="D22" s="45">
        <f>IF(ISBLANK(C22),B22,C22)</f>
        <v/>
      </c>
      <c r="E22" s="36" t="inlineStr">
        <is>
          <t>%</t>
        </is>
      </c>
      <c r="F22" s="36" t="inlineStr">
        <is>
          <t>assumption</t>
        </is>
      </c>
      <c r="G22" s="36" t="inlineStr">
        <is>
          <t>21% US federal statutory rate</t>
        </is>
      </c>
      <c r="H22" s="33" t="n"/>
      <c r="I22" s="33" t="n"/>
      <c r="J22" s="33" t="n"/>
      <c r="K22" s="33" t="n"/>
      <c r="L22" s="33" t="n"/>
    </row>
    <row r="23">
      <c r="A23" s="34" t="inlineStr">
        <is>
          <t>Timing and terminal</t>
        </is>
      </c>
      <c r="B23" s="35" t="n"/>
      <c r="C23" s="35" t="n"/>
      <c r="D23" s="35" t="n"/>
      <c r="E23" s="35" t="n"/>
      <c r="F23" s="35" t="n"/>
      <c r="G23" s="35" t="n"/>
      <c r="H23" s="33" t="n"/>
      <c r="I23" s="33" t="n"/>
      <c r="J23" s="33" t="n"/>
      <c r="K23" s="33" t="n"/>
      <c r="L23" s="33" t="n"/>
    </row>
    <row r="24">
      <c r="A24" s="36" t="inlineStr">
        <is>
          <t>Terminal growth</t>
        </is>
      </c>
      <c r="B24" s="43" t="n">
        <v>0.03</v>
      </c>
      <c r="C24" s="44" t="n"/>
      <c r="D24" s="45">
        <f>IF(ISBLANK(C24),B24,C24)</f>
        <v/>
      </c>
      <c r="E24" s="36" t="inlineStr">
        <is>
          <t>%</t>
        </is>
      </c>
      <c r="F24" s="36" t="inlineStr">
        <is>
          <t>assumption</t>
        </is>
      </c>
      <c r="G24" s="36" t="inlineStr">
        <is>
          <t>3%, capped at rf − 1%</t>
        </is>
      </c>
      <c r="H24" s="33" t="n"/>
      <c r="I24" s="33" t="n"/>
      <c r="J24" s="33" t="n"/>
      <c r="K24" s="33" t="n"/>
      <c r="L24" s="33" t="n"/>
    </row>
    <row r="25">
      <c r="A25" s="36" t="inlineStr">
        <is>
          <t>Years from today to the first fiscal year end</t>
        </is>
      </c>
      <c r="B25" s="37" t="n">
        <v>0.7008898015058179</v>
      </c>
      <c r="C25" s="38" t="n"/>
      <c r="D25" s="39">
        <f>IF(ISBLANK(C25),B25,C25)</f>
        <v/>
      </c>
      <c r="E25" s="36" t="inlineStr">
        <is>
          <t>yrs</t>
        </is>
      </c>
      <c r="F25" s="36" t="inlineStr">
        <is>
          <t>derived</t>
        </is>
      </c>
      <c r="G25" s="36" t="inlineStr">
        <is>
          <t>days from 2026-10-20 to fiscal year end 2027-07-03</t>
        </is>
      </c>
      <c r="H25" s="33" t="n"/>
      <c r="I25" s="33" t="n"/>
      <c r="J25" s="33" t="n"/>
      <c r="K25" s="33" t="n"/>
      <c r="L25" s="33" t="n"/>
    </row>
    <row r="26">
      <c r="A26" s="36" t="inlineStr">
        <is>
          <t>Share of the first year after the last balance sheet</t>
        </is>
      </c>
      <c r="B26" s="37" t="n">
        <v>1</v>
      </c>
      <c r="C26" s="38" t="n"/>
      <c r="D26" s="39">
        <f>IF(ISBLANK(C26),B26,C26)</f>
        <v/>
      </c>
      <c r="E26" s="36" t="inlineStr"/>
      <c r="F26" s="36" t="inlineStr">
        <is>
          <t>derived</t>
        </is>
      </c>
      <c r="G26" s="36" t="inlineStr">
        <is>
          <t>share of the year after the last balance sheet (2026-06-30)</t>
        </is>
      </c>
      <c r="H26" s="33" t="n"/>
      <c r="I26" s="33" t="n"/>
      <c r="J26" s="33" t="n"/>
      <c r="K26" s="33" t="n"/>
      <c r="L26" s="33" t="n"/>
    </row>
    <row r="27">
      <c r="A27" s="36" t="inlineStr">
        <is>
          <t>Mid-year convention (1 = yes, 0 = year-end)</t>
        </is>
      </c>
      <c r="B27" s="37" t="n">
        <v>1</v>
      </c>
      <c r="C27" s="38" t="n"/>
      <c r="D27" s="39">
        <f>IF(ISBLANK(C27),B27,C27)</f>
        <v/>
      </c>
      <c r="E27" s="36" t="inlineStr"/>
      <c r="F27" s="36" t="inlineStr">
        <is>
          <t>setting</t>
        </is>
      </c>
      <c r="G27" s="36" t="inlineStr"/>
      <c r="H27" s="33" t="n"/>
      <c r="I27" s="33" t="n"/>
      <c r="J27" s="33" t="n"/>
      <c r="K27" s="33" t="n"/>
      <c r="L27" s="33" t="n"/>
    </row>
    <row r="28">
      <c r="A28" s="34" t="inlineStr">
        <is>
          <t>Verdict</t>
        </is>
      </c>
      <c r="B28" s="35" t="n"/>
      <c r="C28" s="35" t="n"/>
      <c r="D28" s="35" t="n"/>
      <c r="E28" s="35" t="n"/>
      <c r="F28" s="35" t="n"/>
      <c r="G28" s="35" t="n"/>
      <c r="H28" s="33" t="n"/>
      <c r="I28" s="33" t="n"/>
      <c r="J28" s="33" t="n"/>
      <c r="K28" s="33" t="n"/>
      <c r="L28" s="33" t="n"/>
    </row>
    <row r="29">
      <c r="A29" s="36" t="inlineStr">
        <is>
          <t>Fairly-valued band (±)</t>
        </is>
      </c>
      <c r="B29" s="43" t="n">
        <v>0.1</v>
      </c>
      <c r="C29" s="44" t="n"/>
      <c r="D29" s="45">
        <f>IF(ISBLANK(C29),B29,C29)</f>
        <v/>
      </c>
      <c r="E29" s="36" t="inlineStr">
        <is>
          <t>%</t>
        </is>
      </c>
      <c r="F29" s="36" t="inlineStr">
        <is>
          <t>assumption</t>
        </is>
      </c>
      <c r="G29" s="36" t="inlineStr">
        <is>
          <t>±10% treated as fairly valued</t>
        </is>
      </c>
      <c r="H29" s="33" t="n"/>
      <c r="I29" s="33" t="n"/>
      <c r="J29" s="33" t="n"/>
      <c r="K29" s="33" t="n"/>
      <c r="L29" s="33" t="n"/>
    </row>
    <row r="30">
      <c r="A30" s="36" t="inlineStr">
        <is>
          <t>Years for price to converge to value</t>
        </is>
      </c>
      <c r="B30" s="37" t="n">
        <v>1</v>
      </c>
      <c r="C30" s="38" t="n"/>
      <c r="D30" s="39">
        <f>IF(ISBLANK(C30),B30,C30)</f>
        <v/>
      </c>
      <c r="E30" s="36" t="inlineStr">
        <is>
          <t>yrs</t>
        </is>
      </c>
      <c r="F30" s="36" t="inlineStr">
        <is>
          <t>assumption</t>
        </is>
      </c>
      <c r="G30" s="36" t="inlineStr">
        <is>
          <t>convergence horizon</t>
        </is>
      </c>
      <c r="H30" s="33" t="n"/>
      <c r="I30" s="33" t="n"/>
      <c r="J30" s="33" t="n"/>
      <c r="K30" s="33" t="n"/>
      <c r="L30" s="33" t="n"/>
    </row>
    <row r="31">
      <c r="A31" s="36" t="inlineStr">
        <is>
          <t>Peer regression used only if R² is at least</t>
        </is>
      </c>
      <c r="B31" s="37" t="n">
        <v>0.3</v>
      </c>
      <c r="C31" s="38" t="n"/>
      <c r="D31" s="39">
        <f>IF(ISBLANK(C31),B31,C31)</f>
        <v/>
      </c>
      <c r="E31" s="36" t="inlineStr"/>
      <c r="F31" s="36" t="inlineStr">
        <is>
          <t>setting</t>
        </is>
      </c>
      <c r="G31" s="36" t="inlineStr"/>
      <c r="H31" s="33" t="n"/>
      <c r="I31" s="33" t="n"/>
      <c r="J31" s="33" t="n"/>
      <c r="K31" s="33" t="n"/>
      <c r="L31" s="33" t="n"/>
    </row>
    <row r="32">
      <c r="A32" s="36" t="inlineStr">
        <is>
          <t>Earnings-quality gate (1 = grade D withholds the call)</t>
        </is>
      </c>
      <c r="B32" s="37" t="n">
        <v>1</v>
      </c>
      <c r="C32" s="38" t="n"/>
      <c r="D32" s="39">
        <f>IF(ISBLANK(C32),B32,C32)</f>
        <v/>
      </c>
      <c r="E32" s="36" t="inlineStr"/>
      <c r="F32" s="36" t="inlineStr">
        <is>
          <t>setting</t>
        </is>
      </c>
      <c r="G32" s="36" t="inlineStr"/>
      <c r="H32" s="33" t="n"/>
      <c r="I32" s="33" t="n"/>
      <c r="J32" s="33" t="n"/>
      <c r="K32" s="33" t="n"/>
      <c r="L32" s="33" t="n"/>
    </row>
    <row r="33">
      <c r="A33" s="34" t="inlineStr">
        <is>
          <t>Operating</t>
        </is>
      </c>
      <c r="B33" s="35" t="n"/>
      <c r="C33" s="35" t="n"/>
      <c r="D33" s="35" t="n"/>
      <c r="E33" s="35" t="n"/>
      <c r="F33" s="35" t="n"/>
      <c r="G33" s="35" t="n"/>
      <c r="H33" s="33" t="n"/>
      <c r="I33" s="33" t="n"/>
      <c r="J33" s="33" t="n"/>
      <c r="K33" s="33" t="n"/>
      <c r="L33" s="33" t="n"/>
    </row>
    <row r="34">
      <c r="A34" s="36" t="inlineStr">
        <is>
          <t>Last fiscal-year revenue</t>
        </is>
      </c>
      <c r="B34" s="40" t="n">
        <v>20248</v>
      </c>
      <c r="C34" s="41" t="n"/>
      <c r="D34" s="42">
        <f>IF(ISBLANK(C34),B34,C34)</f>
        <v/>
      </c>
      <c r="E34" s="36" t="inlineStr">
        <is>
          <t>$m</t>
        </is>
      </c>
      <c r="F34" s="36" t="inlineStr">
        <is>
          <t>sourced</t>
        </is>
      </c>
      <c r="G34" s="36" t="inlineStr">
        <is>
          <t>Yahoo Finance fundamentals (annual) TotalRevenue, 2026-06-30</t>
        </is>
      </c>
      <c r="H34" s="33" t="n"/>
      <c r="I34" s="33" t="n"/>
      <c r="J34" s="33" t="n"/>
      <c r="K34" s="33" t="n"/>
      <c r="L34" s="33" t="n"/>
    </row>
    <row r="35">
      <c r="A35" s="36" t="inlineStr">
        <is>
          <t>Corporate costs % revenue</t>
        </is>
      </c>
      <c r="B35" s="43" t="n">
        <v>0</v>
      </c>
      <c r="C35" s="44" t="n"/>
      <c r="D35" s="45">
        <f>IF(ISBLANK(C35),B35,C35)</f>
        <v/>
      </c>
      <c r="E35" s="36" t="inlineStr">
        <is>
          <t>%</t>
        </is>
      </c>
      <c r="F35" s="36" t="inlineStr">
        <is>
          <t>assumption</t>
        </is>
      </c>
      <c r="G35" s="36" t="inlineStr">
        <is>
          <t>none (single segment)</t>
        </is>
      </c>
      <c r="H35" s="33" t="n"/>
      <c r="I35" s="33" t="n"/>
      <c r="J35" s="33" t="n"/>
      <c r="K35" s="33" t="n"/>
      <c r="L35" s="33" t="n"/>
    </row>
    <row r="36">
      <c r="A36" s="36" t="inlineStr">
        <is>
          <t>Tax rate, year 1</t>
        </is>
      </c>
      <c r="B36" s="43" t="n">
        <v>0.1216870246600599</v>
      </c>
      <c r="C36" s="44" t="n"/>
      <c r="D36" s="45">
        <f>IF(ISBLANK(C36),B36,C36)</f>
        <v/>
      </c>
      <c r="E36" s="36" t="inlineStr">
        <is>
          <t>%</t>
        </is>
      </c>
      <c r="F36" s="36" t="inlineStr">
        <is>
          <t>derived</t>
        </is>
      </c>
      <c r="G36" s="36" t="inlineStr">
        <is>
          <t>Yahoo Finance fundamentals (annual) TaxProvision ÷ PretaxIncome (clamped 10–30%)</t>
        </is>
      </c>
      <c r="H36" s="33" t="n"/>
      <c r="I36" s="33" t="n"/>
      <c r="J36" s="33" t="n"/>
      <c r="K36" s="33" t="n"/>
      <c r="L36" s="33" t="n"/>
    </row>
    <row r="37">
      <c r="A37" s="36" t="inlineStr">
        <is>
          <t>Tax rate, long run (from year 5)</t>
        </is>
      </c>
      <c r="B37" s="43" t="n">
        <v>0.18</v>
      </c>
      <c r="C37" s="44" t="n"/>
      <c r="D37" s="45">
        <f>IF(ISBLANK(C37),B37,C37)</f>
        <v/>
      </c>
      <c r="E37" s="36" t="inlineStr">
        <is>
          <t>%</t>
        </is>
      </c>
      <c r="F37" s="36" t="inlineStr">
        <is>
          <t>assumption</t>
        </is>
      </c>
      <c r="G37" s="36" t="inlineStr">
        <is>
          <t>max(effective rate, 18%)</t>
        </is>
      </c>
      <c r="H37" s="33" t="n"/>
      <c r="I37" s="33" t="n"/>
      <c r="J37" s="33" t="n"/>
      <c r="K37" s="33" t="n"/>
      <c r="L37" s="33" t="n"/>
    </row>
    <row r="38">
      <c r="A38" s="36" t="inlineStr">
        <is>
          <t>D&amp;A % revenue</t>
        </is>
      </c>
      <c r="B38" s="43" t="n">
        <v>0.01564232767174458</v>
      </c>
      <c r="C38" s="44" t="n"/>
      <c r="D38" s="45">
        <f>IF(ISBLANK(C38),B38,C38)</f>
        <v/>
      </c>
      <c r="E38" s="36" t="inlineStr">
        <is>
          <t>%</t>
        </is>
      </c>
      <c r="F38" s="36" t="inlineStr">
        <is>
          <t>derived</t>
        </is>
      </c>
      <c r="G38" s="36" t="inlineStr">
        <is>
          <t>Yahoo Finance fundamentals (annual) D&amp;A ÷ revenue, 3-year average</t>
        </is>
      </c>
      <c r="H38" s="33" t="n"/>
      <c r="I38" s="33" t="n"/>
      <c r="J38" s="33" t="n"/>
      <c r="K38" s="33" t="n"/>
      <c r="L38" s="33" t="n"/>
    </row>
    <row r="39">
      <c r="A39" s="36" t="inlineStr">
        <is>
          <t>Capex % revenue</t>
        </is>
      </c>
      <c r="B39" s="43" t="n">
        <v>0.01596334559038114</v>
      </c>
      <c r="C39" s="44" t="n"/>
      <c r="D39" s="45">
        <f>IF(ISBLANK(C39),B39,C39)</f>
        <v/>
      </c>
      <c r="E39" s="36" t="inlineStr">
        <is>
          <t>%</t>
        </is>
      </c>
      <c r="F39" s="36" t="inlineStr">
        <is>
          <t>derived</t>
        </is>
      </c>
      <c r="G39" s="36" t="inlineStr">
        <is>
          <t>Yahoo Finance fundamentals (annual) capex ÷ revenue, 3-year average</t>
        </is>
      </c>
      <c r="H39" s="33" t="n"/>
      <c r="I39" s="33" t="n"/>
      <c r="J39" s="33" t="n"/>
      <c r="K39" s="33" t="n"/>
      <c r="L39" s="33" t="n"/>
    </row>
    <row r="40">
      <c r="A40" s="36" t="inlineStr">
        <is>
          <t>ΔNWC % of Δrevenue</t>
        </is>
      </c>
      <c r="B40" s="43" t="n">
        <v>0.1921360847741216</v>
      </c>
      <c r="C40" s="44" t="n"/>
      <c r="D40" s="45">
        <f>IF(ISBLANK(C40),B40,C40)</f>
        <v/>
      </c>
      <c r="E40" s="36" t="inlineStr">
        <is>
          <t>%</t>
        </is>
      </c>
      <c r="F40" s="36" t="inlineStr">
        <is>
          <t>derived</t>
        </is>
      </c>
      <c r="G40" s="36" t="inlineStr">
        <is>
          <t>Yahoo Finance fundamentals (quarterly) (receivables + inventory − payables) ÷ (4 × revenue), quarter to 2026-06-30</t>
        </is>
      </c>
      <c r="H40" s="33" t="n"/>
      <c r="I40" s="33" t="n"/>
      <c r="J40" s="33" t="n"/>
      <c r="K40" s="33" t="n"/>
      <c r="L40" s="33" t="n"/>
    </row>
    <row r="41">
      <c r="A41" s="36" t="inlineStr">
        <is>
          <t>Working capital at the last balance sheet</t>
        </is>
      </c>
      <c r="B41" s="40" t="n">
        <v>6890</v>
      </c>
      <c r="C41" s="41" t="n"/>
      <c r="D41" s="42">
        <f>IF(ISBLANK(C41),B41,C41)</f>
        <v/>
      </c>
      <c r="E41" s="36" t="inlineStr">
        <is>
          <t>$m</t>
        </is>
      </c>
      <c r="F41" s="36" t="inlineStr">
        <is>
          <t>derived</t>
        </is>
      </c>
      <c r="G41" s="36" t="inlineStr">
        <is>
          <t>Yahoo Finance fundamentals (quarterly) receivables + inventory − payables, 2026-06-30; year 1 change = NWC % × revenue − this level</t>
        </is>
      </c>
      <c r="H41" s="33" t="n"/>
      <c r="I41" s="33" t="n"/>
      <c r="J41" s="33" t="n"/>
      <c r="K41" s="33" t="n"/>
      <c r="L41" s="33" t="n"/>
    </row>
    <row r="42">
      <c r="A42" s="36" t="inlineStr">
        <is>
          <t>Return on new invested capital (terminal)</t>
        </is>
      </c>
      <c r="B42" s="43" t="n">
        <v>0.15</v>
      </c>
      <c r="C42" s="44" t="n"/>
      <c r="D42" s="45">
        <f>IF(ISBLANK(C42),B42,C42)</f>
        <v/>
      </c>
      <c r="E42" s="36" t="inlineStr">
        <is>
          <t>%</t>
        </is>
      </c>
      <c r="F42" s="36" t="inlineStr">
        <is>
          <t>assumption</t>
        </is>
      </c>
      <c r="G42" s="36" t="inlineStr">
        <is>
          <t>15% return on new invested capital</t>
        </is>
      </c>
      <c r="H42" s="33" t="n"/>
      <c r="I42" s="33" t="n"/>
      <c r="J42" s="33" t="n"/>
      <c r="K42" s="33" t="n"/>
      <c r="L42" s="33" t="n"/>
    </row>
    <row r="43">
      <c r="A43" s="36" t="inlineStr">
        <is>
          <t>Exit EV/EBITDA multiple (cross-check)</t>
        </is>
      </c>
      <c r="B43" s="37" t="n">
        <v>12</v>
      </c>
      <c r="C43" s="38" t="n"/>
      <c r="D43" s="39">
        <f>IF(ISBLANK(C43),B43,C43)</f>
        <v/>
      </c>
      <c r="E43" s="36" t="inlineStr">
        <is>
          <t>x</t>
        </is>
      </c>
      <c r="F43" s="36" t="inlineStr">
        <is>
          <t>assumption</t>
        </is>
      </c>
      <c r="G43" s="36" t="inlineStr">
        <is>
          <t>12x EBITDA cross-check</t>
        </is>
      </c>
      <c r="H43" s="33" t="n"/>
      <c r="I43" s="33" t="n"/>
      <c r="J43" s="33" t="n"/>
      <c r="K43" s="33" t="n"/>
      <c r="L43" s="33" t="n"/>
    </row>
    <row r="44">
      <c r="A44" s="36" t="inlineStr">
        <is>
          <t>Terminal method: gordon or exit</t>
        </is>
      </c>
      <c r="B44" s="37" t="inlineStr">
        <is>
          <t>gordon</t>
        </is>
      </c>
      <c r="C44" s="38" t="n"/>
      <c r="D44" s="39">
        <f>IF(ISBLANK(C44),B44,C44)</f>
        <v/>
      </c>
      <c r="E44" s="36" t="inlineStr"/>
      <c r="F44" s="36" t="inlineStr">
        <is>
          <t>setting</t>
        </is>
      </c>
      <c r="G44" s="36" t="inlineStr"/>
      <c r="H44" s="33" t="n"/>
      <c r="I44" s="33" t="n"/>
      <c r="J44" s="33" t="n"/>
      <c r="K44" s="33" t="n"/>
      <c r="L44" s="33" t="n"/>
    </row>
    <row r="45">
      <c r="A45" s="36" t="inlineStr">
        <is>
          <t>Year-1 revenue: Total revenue</t>
        </is>
      </c>
      <c r="B45" s="40" t="n">
        <v>49135.34089</v>
      </c>
      <c r="C45" s="41" t="n"/>
      <c r="D45" s="42">
        <f>IF(ISBLANK(C45),B45,C45)</f>
        <v/>
      </c>
      <c r="E45" s="36" t="inlineStr">
        <is>
          <t>$m</t>
        </is>
      </c>
      <c r="F45" s="36" t="inlineStr">
        <is>
          <t>sourced</t>
        </is>
      </c>
      <c r="G45" s="36" t="inlineStr">
        <is>
          <t>Yahoo Finance quoteSummary earningsTrend 0y revenue estimate (consensus)</t>
        </is>
      </c>
      <c r="H45" s="33" t="n"/>
      <c r="I45" s="33" t="n"/>
      <c r="J45" s="33" t="n"/>
      <c r="K45" s="33" t="n"/>
      <c r="L45" s="33" t="n"/>
    </row>
    <row r="46">
      <c r="A46" s="34" t="inlineStr">
        <is>
          <t>Equity bridge</t>
        </is>
      </c>
      <c r="B46" s="35" t="n"/>
      <c r="C46" s="35" t="n"/>
      <c r="D46" s="35" t="n"/>
      <c r="E46" s="35" t="n"/>
      <c r="F46" s="35" t="n"/>
      <c r="G46" s="35" t="n"/>
      <c r="H46" s="33" t="n"/>
      <c r="I46" s="33" t="n"/>
      <c r="J46" s="33" t="n"/>
      <c r="K46" s="33" t="n"/>
      <c r="L46" s="33" t="n"/>
    </row>
    <row r="47">
      <c r="A47" s="36" t="inlineStr">
        <is>
          <t>Cash and equivalents</t>
        </is>
      </c>
      <c r="B47" s="40" t="n">
        <v>4762</v>
      </c>
      <c r="C47" s="41" t="n"/>
      <c r="D47" s="42">
        <f>IF(ISBLANK(C47),B47,C47)</f>
        <v/>
      </c>
      <c r="E47" s="36" t="inlineStr">
        <is>
          <t>$m</t>
        </is>
      </c>
      <c r="F47" s="36" t="inlineStr">
        <is>
          <t>sourced</t>
        </is>
      </c>
      <c r="G47" s="36" t="inlineStr">
        <is>
          <t>Yahoo Finance fundamentals (quarterly) CashAndCashEquivalents, 2026-06-30</t>
        </is>
      </c>
      <c r="H47" s="33" t="n"/>
      <c r="I47" s="33" t="n"/>
      <c r="J47" s="33" t="n"/>
      <c r="K47" s="33" t="n"/>
      <c r="L47" s="33" t="n"/>
    </row>
    <row r="48">
      <c r="A48" s="36" t="inlineStr">
        <is>
          <t>Debt excluding leases</t>
        </is>
      </c>
      <c r="B48" s="40" t="n">
        <v>0</v>
      </c>
      <c r="C48" s="41" t="n"/>
      <c r="D48" s="42">
        <f>IF(ISBLANK(C48),B48,C48)</f>
        <v/>
      </c>
      <c r="E48" s="36" t="inlineStr">
        <is>
          <t>$m</t>
        </is>
      </c>
      <c r="F48" s="36" t="inlineStr">
        <is>
          <t>sourced</t>
        </is>
      </c>
      <c r="G48" s="36" t="inlineStr">
        <is>
          <t>Yahoo Finance fundamentals (quarterly) TotalDebt − capital leases, 2026-06-30</t>
        </is>
      </c>
      <c r="H48" s="33" t="n"/>
      <c r="I48" s="33" t="n"/>
      <c r="J48" s="33" t="n"/>
      <c r="K48" s="33" t="n"/>
      <c r="L48" s="33" t="n"/>
    </row>
    <row r="49">
      <c r="A49" s="36" t="inlineStr">
        <is>
          <t>Lease liabilities</t>
        </is>
      </c>
      <c r="B49" s="40" t="n">
        <v>177</v>
      </c>
      <c r="C49" s="41" t="n"/>
      <c r="D49" s="42">
        <f>IF(ISBLANK(C49),B49,C49)</f>
        <v/>
      </c>
      <c r="E49" s="36" t="inlineStr">
        <is>
          <t>$m</t>
        </is>
      </c>
      <c r="F49" s="36" t="inlineStr">
        <is>
          <t>sourced</t>
        </is>
      </c>
      <c r="G49" s="36" t="inlineStr">
        <is>
          <t>Yahoo Finance fundamentals (quarterly) CapitalLeaseObligations</t>
        </is>
      </c>
      <c r="H49" s="33" t="n"/>
      <c r="I49" s="33" t="n"/>
      <c r="J49" s="33" t="n"/>
      <c r="K49" s="33" t="n"/>
      <c r="L49" s="33" t="n"/>
    </row>
    <row r="50">
      <c r="A50" s="36" t="inlineStr">
        <is>
          <t>Captive-finance receivables</t>
        </is>
      </c>
      <c r="B50" s="40" t="n">
        <v>0</v>
      </c>
      <c r="C50" s="41" t="n"/>
      <c r="D50" s="42">
        <f>IF(ISBLANK(C50),B50,C50)</f>
        <v/>
      </c>
      <c r="E50" s="36" t="inlineStr">
        <is>
          <t>$m</t>
        </is>
      </c>
      <c r="F50" s="36" t="inlineStr">
        <is>
          <t>setting</t>
        </is>
      </c>
      <c r="G50" s="36" t="inlineStr"/>
      <c r="H50" s="33" t="n"/>
      <c r="I50" s="33" t="n"/>
      <c r="J50" s="33" t="n"/>
      <c r="K50" s="33" t="n"/>
      <c r="L50" s="33" t="n"/>
    </row>
    <row r="51">
      <c r="A51" s="36" t="inlineStr">
        <is>
          <t>Captive-finance lease equipment</t>
        </is>
      </c>
      <c r="B51" s="40" t="n">
        <v>0</v>
      </c>
      <c r="C51" s="41" t="n"/>
      <c r="D51" s="42">
        <f>IF(ISBLANK(C51),B51,C51)</f>
        <v/>
      </c>
      <c r="E51" s="36" t="inlineStr">
        <is>
          <t>$m</t>
        </is>
      </c>
      <c r="F51" s="36" t="inlineStr">
        <is>
          <t>setting</t>
        </is>
      </c>
      <c r="G51" s="36" t="inlineStr"/>
      <c r="H51" s="33" t="n"/>
      <c r="I51" s="33" t="n"/>
      <c r="J51" s="33" t="n"/>
      <c r="K51" s="33" t="n"/>
      <c r="L51" s="33" t="n"/>
    </row>
    <row r="52">
      <c r="A52" s="36" t="inlineStr">
        <is>
          <t>Captive-finance debt</t>
        </is>
      </c>
      <c r="B52" s="40" t="n">
        <v>0</v>
      </c>
      <c r="C52" s="41" t="n"/>
      <c r="D52" s="42">
        <f>IF(ISBLANK(C52),B52,C52)</f>
        <v/>
      </c>
      <c r="E52" s="36" t="inlineStr">
        <is>
          <t>$m</t>
        </is>
      </c>
      <c r="F52" s="36" t="inlineStr">
        <is>
          <t>setting</t>
        </is>
      </c>
      <c r="G52" s="36" t="inlineStr"/>
      <c r="H52" s="33" t="n"/>
      <c r="I52" s="33" t="n"/>
      <c r="J52" s="33" t="n"/>
      <c r="K52" s="33" t="n"/>
      <c r="L52" s="33" t="n"/>
    </row>
    <row r="53">
      <c r="A53" s="36" t="inlineStr">
        <is>
          <t>Non-operating investments</t>
        </is>
      </c>
      <c r="B53" s="40" t="n">
        <v>0</v>
      </c>
      <c r="C53" s="41" t="n"/>
      <c r="D53" s="42">
        <f>IF(ISBLANK(C53),B53,C53)</f>
        <v/>
      </c>
      <c r="E53" s="36" t="inlineStr">
        <is>
          <t>$m</t>
        </is>
      </c>
      <c r="F53" s="36" t="inlineStr">
        <is>
          <t>assumption</t>
        </is>
      </c>
      <c r="G53" s="36" t="inlineStr">
        <is>
          <t>not in feed; enter from the 10-K</t>
        </is>
      </c>
      <c r="H53" s="33" t="n"/>
      <c r="I53" s="33" t="n"/>
      <c r="J53" s="33" t="n"/>
      <c r="K53" s="33" t="n"/>
      <c r="L53" s="33" t="n"/>
    </row>
    <row r="54">
      <c r="A54" s="36" t="inlineStr">
        <is>
          <t>Non-controlling interests</t>
        </is>
      </c>
      <c r="B54" s="40" t="n">
        <v>0</v>
      </c>
      <c r="C54" s="41" t="n"/>
      <c r="D54" s="42">
        <f>IF(ISBLANK(C54),B54,C54)</f>
        <v/>
      </c>
      <c r="E54" s="36" t="inlineStr">
        <is>
          <t>$m</t>
        </is>
      </c>
      <c r="F54" s="36" t="inlineStr">
        <is>
          <t>sourced</t>
        </is>
      </c>
      <c r="G54" s="36" t="inlineStr">
        <is>
          <t>Yahoo Finance fundamentals (quarterly) MinorityInterest</t>
        </is>
      </c>
      <c r="H54" s="33" t="n"/>
      <c r="I54" s="33" t="n"/>
      <c r="J54" s="33" t="n"/>
      <c r="K54" s="33" t="n"/>
      <c r="L54" s="33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7791F"/>
    <outlinePr summaryBelow="1" summaryRight="1"/>
    <pageSetUpPr fitToPage="1"/>
  </sheetPr>
  <dimension ref="A1:L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2" customWidth="1" min="4" max="4"/>
    <col width="12" customWidth="1" min="5" max="5"/>
    <col width="8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25" t="inlineStr">
        <is>
          <t>Scenarios</t>
        </is>
      </c>
      <c r="B1" s="26" t="n"/>
      <c r="C1" s="49">
        <f>"Scenario: "&amp;scen_name&amp;"  ·  switch on Dashboard"</f>
        <v/>
      </c>
      <c r="D1" s="26" t="n"/>
      <c r="E1" s="26" t="n"/>
      <c r="F1" s="26" t="n"/>
      <c r="G1" s="1" t="n"/>
      <c r="H1" s="1" t="n"/>
      <c r="I1" s="1" t="n"/>
      <c r="J1" s="1" t="n"/>
      <c r="K1" s="1" t="n"/>
      <c r="L1" s="1" t="n"/>
    </row>
    <row r="2" ht="16" customHeight="1">
      <c r="A2" s="27" t="inlineStr">
        <is>
          <t>Blue cells are the drivers for each case; column E is the case picked by the switch on the Dashboard.</t>
        </is>
      </c>
      <c r="B2" s="28" t="n"/>
      <c r="C2" s="28" t="n"/>
      <c r="D2" s="28" t="n"/>
      <c r="E2" s="28" t="n"/>
      <c r="F2" s="28" t="n"/>
      <c r="G2" s="29" t="n"/>
      <c r="H2" s="29" t="n"/>
      <c r="I2" s="29" t="n"/>
      <c r="J2" s="29" t="n"/>
      <c r="K2" s="29" t="n"/>
      <c r="L2" s="29" t="n"/>
    </row>
    <row r="3">
      <c r="A3" s="30" t="n"/>
      <c r="B3" s="30" t="n"/>
      <c r="C3" s="30" t="n"/>
      <c r="D3" s="30" t="n"/>
      <c r="E3" s="30" t="n"/>
      <c r="F3" s="30" t="n"/>
    </row>
    <row r="4">
      <c r="A4" s="31" t="inlineStr">
        <is>
          <t>Driver</t>
        </is>
      </c>
      <c r="B4" s="32" t="inlineStr">
        <is>
          <t>Bear</t>
        </is>
      </c>
      <c r="C4" s="32" t="inlineStr">
        <is>
          <t>Base</t>
        </is>
      </c>
      <c r="D4" s="32" t="inlineStr">
        <is>
          <t>Bull</t>
        </is>
      </c>
      <c r="E4" s="32" t="inlineStr">
        <is>
          <t>Used</t>
        </is>
      </c>
      <c r="F4" s="32" t="inlineStr">
        <is>
          <t>Notes</t>
        </is>
      </c>
      <c r="G4" s="33" t="n"/>
      <c r="H4" s="33" t="n"/>
      <c r="I4" s="33" t="n"/>
      <c r="J4" s="33" t="n"/>
      <c r="K4" s="33" t="n"/>
      <c r="L4" s="33" t="n"/>
    </row>
    <row r="5">
      <c r="A5" s="36" t="inlineStr">
        <is>
          <t>Revenue growth: Total revenue, year 2</t>
        </is>
      </c>
      <c r="B5" s="50" t="n">
        <v>0.1392892944575642</v>
      </c>
      <c r="C5" s="50" t="n">
        <v>0.1892892944575642</v>
      </c>
      <c r="D5" s="50" t="n">
        <v>0.2292892944575642</v>
      </c>
      <c r="E5" s="51">
        <f>CHOOSE(scen_sel,B5,C5,D5)</f>
        <v/>
      </c>
      <c r="F5" s="52" t="inlineStr">
        <is>
          <t>consensus: FY28 ÷ FY27 revenue estimate − 1</t>
        </is>
      </c>
      <c r="G5" s="33" t="n"/>
      <c r="H5" s="33" t="n"/>
      <c r="I5" s="33" t="n"/>
      <c r="J5" s="33" t="n"/>
      <c r="K5" s="33" t="n"/>
      <c r="L5" s="33" t="n"/>
    </row>
    <row r="6">
      <c r="A6" s="36" t="inlineStr">
        <is>
          <t>Revenue growth: Total revenue, year 3</t>
        </is>
      </c>
      <c r="B6" s="50" t="n">
        <v>0.1144669708431731</v>
      </c>
      <c r="C6" s="50" t="n">
        <v>0.1519669708431731</v>
      </c>
      <c r="D6" s="50" t="n">
        <v>0.1819669708431731</v>
      </c>
      <c r="E6" s="51">
        <f>CHOOSE(scen_sel,B6,C6,D6)</f>
        <v/>
      </c>
      <c r="F6" s="52" t="inlineStr">
        <is>
          <t>fade: g×0.75+1%, g×0.5+1.5%, g×0.35+2%</t>
        </is>
      </c>
      <c r="G6" s="33" t="n"/>
      <c r="H6" s="33" t="n"/>
      <c r="I6" s="33" t="n"/>
      <c r="J6" s="33" t="n"/>
      <c r="K6" s="33" t="n"/>
      <c r="L6" s="33" t="n"/>
    </row>
    <row r="7">
      <c r="A7" s="36" t="inlineStr">
        <is>
          <t>Revenue growth: Total revenue, year 4</t>
        </is>
      </c>
      <c r="B7" s="50" t="n">
        <v>0.08464464722878208</v>
      </c>
      <c r="C7" s="50" t="n">
        <v>0.1096446472287821</v>
      </c>
      <c r="D7" s="50" t="n">
        <v>0.1296446472287821</v>
      </c>
      <c r="E7" s="51">
        <f>CHOOSE(scen_sel,B7,C7,D7)</f>
        <v/>
      </c>
      <c r="F7" s="52" t="inlineStr">
        <is>
          <t>fade: g×0.75+1%, g×0.5+1.5%, g×0.35+2%</t>
        </is>
      </c>
      <c r="G7" s="33" t="n"/>
      <c r="H7" s="33" t="n"/>
      <c r="I7" s="33" t="n"/>
      <c r="J7" s="33" t="n"/>
      <c r="K7" s="33" t="n"/>
      <c r="L7" s="33" t="n"/>
    </row>
    <row r="8">
      <c r="A8" s="36" t="inlineStr">
        <is>
          <t>Revenue growth: Total revenue, year 5</t>
        </is>
      </c>
      <c r="B8" s="50" t="n">
        <v>0.06875125306014745</v>
      </c>
      <c r="C8" s="50" t="n">
        <v>0.08625125306014746</v>
      </c>
      <c r="D8" s="50" t="n">
        <v>0.1002512530601475</v>
      </c>
      <c r="E8" s="51">
        <f>CHOOSE(scen_sel,B8,C8,D8)</f>
        <v/>
      </c>
      <c r="F8" s="52" t="inlineStr">
        <is>
          <t>fade: g×0.75+1%, g×0.5+1.5%, g×0.35+2%</t>
        </is>
      </c>
      <c r="G8" s="33" t="n"/>
      <c r="H8" s="33" t="n"/>
      <c r="I8" s="33" t="n"/>
      <c r="J8" s="33" t="n"/>
      <c r="K8" s="33" t="n"/>
      <c r="L8" s="33" t="n"/>
    </row>
    <row r="9">
      <c r="A9" s="36" t="inlineStr">
        <is>
          <t>EBIT margin: Company EBIT margin, year 1</t>
        </is>
      </c>
      <c r="B9" s="50" t="n">
        <v>0.615764519952588</v>
      </c>
      <c r="C9" s="50" t="n">
        <v>0.7756718475136292</v>
      </c>
      <c r="D9" s="50" t="n">
        <v>0.7756718475136292</v>
      </c>
      <c r="E9" s="51">
        <f>CHOOSE(scen_sel,B9,C9,D9)</f>
        <v/>
      </c>
      <c r="F9" s="52" t="inlineStr">
        <is>
          <t>Yahoo Finance quoteSummary consensus FY27 EPS × diluted shares ÷ (1 − tax) + interest, ÷ consensus revenue (consensus EPS may be on an adjusted basis)</t>
        </is>
      </c>
      <c r="G9" s="33" t="n"/>
      <c r="H9" s="33" t="n"/>
      <c r="I9" s="33" t="n"/>
      <c r="J9" s="33" t="n"/>
      <c r="K9" s="33" t="n"/>
      <c r="L9" s="33" t="n"/>
    </row>
    <row r="10">
      <c r="A10" s="36" t="inlineStr">
        <is>
          <t>EBIT margin: Company EBIT margin, long run (from year 5)</t>
        </is>
      </c>
      <c r="B10" s="50" t="n">
        <v>0.1013192828105049</v>
      </c>
      <c r="C10" s="50" t="n">
        <v>0.3585419013815464</v>
      </c>
      <c r="D10" s="50" t="n">
        <v>0.615764519952588</v>
      </c>
      <c r="E10" s="51">
        <f>CHOOSE(scen_sel,B10,C10,D10)</f>
        <v/>
      </c>
      <c r="F10" s="52" t="inlineStr">
        <is>
          <t>midpoint of TTM and multi-year average margin</t>
        </is>
      </c>
      <c r="G10" s="33" t="n"/>
      <c r="H10" s="33" t="n"/>
      <c r="I10" s="33" t="n"/>
      <c r="J10" s="33" t="n"/>
      <c r="K10" s="33" t="n"/>
      <c r="L10" s="33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6DB4"/>
    <outlinePr summaryBelow="1" summaryRight="1"/>
    <pageSetUpPr fitToPage="1"/>
  </sheetPr>
  <dimension ref="A1:L5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</cols>
  <sheetData>
    <row r="1" ht="26" customHeight="1">
      <c r="A1" s="25" t="inlineStr">
        <is>
          <t>Step 1 · Historic performance</t>
        </is>
      </c>
      <c r="B1" s="26" t="n"/>
      <c r="C1" s="49">
        <f>"Scenario: "&amp;scen_name&amp;"  ·  switch on Dashboard"</f>
        <v/>
      </c>
      <c r="D1" s="26" t="n"/>
      <c r="E1" s="26" t="n"/>
      <c r="F1" s="26" t="n"/>
      <c r="G1" s="1" t="n"/>
      <c r="H1" s="1" t="n"/>
      <c r="I1" s="1" t="n"/>
      <c r="J1" s="1" t="n"/>
      <c r="K1" s="1" t="n"/>
      <c r="L1" s="1" t="n"/>
    </row>
    <row r="2" ht="16" customHeight="1">
      <c r="A2" s="27" t="inlineStr">
        <is>
          <t>Reported figures ($m) as pulled; growth and margins are formulas. Earnings quality below.</t>
        </is>
      </c>
      <c r="B2" s="28" t="n"/>
      <c r="C2" s="28" t="n"/>
      <c r="D2" s="28" t="n"/>
      <c r="E2" s="28" t="n"/>
      <c r="F2" s="28" t="n"/>
      <c r="G2" s="29" t="n"/>
      <c r="H2" s="29" t="n"/>
      <c r="I2" s="29" t="n"/>
      <c r="J2" s="29" t="n"/>
      <c r="K2" s="29" t="n"/>
      <c r="L2" s="29" t="n"/>
    </row>
    <row r="3">
      <c r="A3" s="30" t="n"/>
      <c r="B3" s="30" t="n"/>
      <c r="C3" s="30" t="n"/>
      <c r="D3" s="30" t="n"/>
      <c r="E3" s="30" t="n"/>
      <c r="F3" s="30" t="n"/>
    </row>
    <row r="4">
      <c r="A4" s="31" t="inlineStr">
        <is>
          <t>Line</t>
        </is>
      </c>
      <c r="B4" s="32" t="inlineStr">
        <is>
          <t>FY23</t>
        </is>
      </c>
      <c r="C4" s="32" t="inlineStr">
        <is>
          <t>FY24</t>
        </is>
      </c>
      <c r="D4" s="32" t="inlineStr">
        <is>
          <t>FY25</t>
        </is>
      </c>
      <c r="E4" s="32" t="inlineStr">
        <is>
          <t>FY26</t>
        </is>
      </c>
      <c r="F4" s="35" t="n"/>
      <c r="G4" s="33" t="n"/>
      <c r="H4" s="33" t="n"/>
      <c r="I4" s="33" t="n"/>
      <c r="J4" s="33" t="n"/>
      <c r="K4" s="33" t="n"/>
      <c r="L4" s="33" t="n"/>
    </row>
    <row r="5">
      <c r="A5" s="36" t="inlineStr">
        <is>
          <t>Revenue</t>
        </is>
      </c>
      <c r="B5" s="40" t="n">
        <v>6086</v>
      </c>
      <c r="C5" s="40" t="n">
        <v>6663</v>
      </c>
      <c r="D5" s="40" t="n">
        <v>7355</v>
      </c>
      <c r="E5" s="40" t="n">
        <v>20248</v>
      </c>
      <c r="F5" s="35" t="n"/>
      <c r="G5" s="33" t="n"/>
      <c r="H5" s="33" t="n"/>
      <c r="I5" s="33" t="n"/>
      <c r="J5" s="33" t="n"/>
      <c r="K5" s="33" t="n"/>
      <c r="L5" s="33" t="n"/>
    </row>
    <row r="6">
      <c r="A6" s="36" t="inlineStr">
        <is>
          <t>Operating income</t>
        </is>
      </c>
      <c r="B6" s="40" t="n">
        <v>-1295</v>
      </c>
      <c r="C6" s="40" t="n">
        <v>-444</v>
      </c>
      <c r="D6" s="40" t="n">
        <v>507</v>
      </c>
      <c r="E6" s="40" t="n">
        <v>12468</v>
      </c>
      <c r="F6" s="35" t="n"/>
      <c r="G6" s="33" t="n"/>
      <c r="H6" s="33" t="n"/>
      <c r="I6" s="33" t="n"/>
      <c r="J6" s="33" t="n"/>
      <c r="K6" s="33" t="n"/>
      <c r="L6" s="33" t="n"/>
    </row>
    <row r="7">
      <c r="A7" s="36" t="inlineStr">
        <is>
          <t>Net income</t>
        </is>
      </c>
      <c r="B7" s="40" t="n">
        <v>-2143</v>
      </c>
      <c r="C7" s="40" t="n">
        <v>-672</v>
      </c>
      <c r="D7" s="40" t="n">
        <v>-1641</v>
      </c>
      <c r="E7" s="40" t="n">
        <v>11433</v>
      </c>
      <c r="F7" s="35" t="n"/>
      <c r="G7" s="33" t="n"/>
      <c r="H7" s="33" t="n"/>
      <c r="I7" s="33" t="n"/>
      <c r="J7" s="33" t="n"/>
      <c r="K7" s="33" t="n"/>
      <c r="L7" s="33" t="n"/>
    </row>
    <row r="8">
      <c r="A8" s="36" t="inlineStr">
        <is>
          <t>Diluted EPS</t>
        </is>
      </c>
      <c r="B8" s="37" t="n">
        <v>-14.78</v>
      </c>
      <c r="C8" s="37" t="n">
        <v>-4.63</v>
      </c>
      <c r="D8" s="37" t="n">
        <v>-11.32</v>
      </c>
      <c r="E8" s="37" t="n"/>
      <c r="F8" s="35" t="n"/>
      <c r="G8" s="33" t="n"/>
      <c r="H8" s="33" t="n"/>
      <c r="I8" s="33" t="n"/>
      <c r="J8" s="33" t="n"/>
      <c r="K8" s="33" t="n"/>
      <c r="L8" s="33" t="n"/>
    </row>
    <row r="9">
      <c r="A9" s="36" t="inlineStr">
        <is>
          <t>Cash from operations</t>
        </is>
      </c>
      <c r="B9" s="40" t="n">
        <v>-713</v>
      </c>
      <c r="C9" s="40" t="n">
        <v>-309</v>
      </c>
      <c r="D9" s="40" t="n">
        <v>84</v>
      </c>
      <c r="E9" s="40" t="n">
        <v>11671</v>
      </c>
      <c r="F9" s="35" t="n"/>
      <c r="G9" s="33" t="n"/>
      <c r="H9" s="33" t="n"/>
      <c r="I9" s="33" t="n"/>
      <c r="J9" s="33" t="n"/>
      <c r="K9" s="33" t="n"/>
      <c r="L9" s="33" t="n"/>
    </row>
    <row r="10">
      <c r="A10" s="36" t="inlineStr">
        <is>
          <t>Capex</t>
        </is>
      </c>
      <c r="B10" s="40" t="n">
        <v>219</v>
      </c>
      <c r="C10" s="40" t="n">
        <v>166</v>
      </c>
      <c r="D10" s="40" t="n">
        <v>204</v>
      </c>
      <c r="E10" s="40" t="n">
        <v>177</v>
      </c>
      <c r="F10" s="35" t="n"/>
      <c r="G10" s="33" t="n"/>
      <c r="H10" s="33" t="n"/>
      <c r="I10" s="33" t="n"/>
      <c r="J10" s="33" t="n"/>
      <c r="K10" s="33" t="n"/>
      <c r="L10" s="33" t="n"/>
    </row>
    <row r="11">
      <c r="A11" s="36" t="inlineStr">
        <is>
          <t>Free cash flow</t>
        </is>
      </c>
      <c r="B11" s="40" t="n">
        <v>-932</v>
      </c>
      <c r="C11" s="40" t="n">
        <v>-475</v>
      </c>
      <c r="D11" s="40" t="n">
        <v>-120</v>
      </c>
      <c r="E11" s="40" t="n">
        <v>11494</v>
      </c>
      <c r="F11" s="35" t="n"/>
      <c r="G11" s="33" t="n"/>
      <c r="H11" s="33" t="n"/>
      <c r="I11" s="33" t="n"/>
      <c r="J11" s="33" t="n"/>
      <c r="K11" s="33" t="n"/>
      <c r="L11" s="33" t="n"/>
    </row>
    <row r="12">
      <c r="A12" s="36" t="inlineStr">
        <is>
          <t>Revenue growth</t>
        </is>
      </c>
      <c r="B12" s="35" t="n"/>
      <c r="C12" s="53">
        <f>IF(AND(ISNUMBER(B5),ISNUMBER(C5)),C5/B5-1,"")</f>
        <v/>
      </c>
      <c r="D12" s="53">
        <f>IF(AND(ISNUMBER(C5),ISNUMBER(D5)),D5/C5-1,"")</f>
        <v/>
      </c>
      <c r="E12" s="53">
        <f>IF(AND(ISNUMBER(D5),ISNUMBER(E5)),E5/D5-1,"")</f>
        <v/>
      </c>
      <c r="F12" s="35" t="n"/>
      <c r="G12" s="33" t="n"/>
      <c r="H12" s="33" t="n"/>
      <c r="I12" s="33" t="n"/>
      <c r="J12" s="33" t="n"/>
      <c r="K12" s="33" t="n"/>
      <c r="L12" s="33" t="n"/>
    </row>
    <row r="13">
      <c r="A13" s="36" t="inlineStr">
        <is>
          <t>Operating income ÷ revenue</t>
        </is>
      </c>
      <c r="B13" s="53">
        <f>IF(AND(ISNUMBER(B6),ISNUMBER(B5)),B6/B5,"")</f>
        <v/>
      </c>
      <c r="C13" s="53">
        <f>IF(AND(ISNUMBER(C6),ISNUMBER(C5)),C6/C5,"")</f>
        <v/>
      </c>
      <c r="D13" s="53">
        <f>IF(AND(ISNUMBER(D6),ISNUMBER(D5)),D6/D5,"")</f>
        <v/>
      </c>
      <c r="E13" s="53">
        <f>IF(AND(ISNUMBER(E6),ISNUMBER(E5)),E6/E5,"")</f>
        <v/>
      </c>
      <c r="F13" s="35" t="n"/>
      <c r="G13" s="33" t="n"/>
      <c r="H13" s="33" t="n"/>
      <c r="I13" s="33" t="n"/>
      <c r="J13" s="33" t="n"/>
      <c r="K13" s="33" t="n"/>
      <c r="L13" s="33" t="n"/>
    </row>
    <row r="14">
      <c r="A14" s="36" t="inlineStr">
        <is>
          <t>Net income ÷ revenue</t>
        </is>
      </c>
      <c r="B14" s="53">
        <f>IF(AND(ISNUMBER(B7),ISNUMBER(B5)),B7/B5,"")</f>
        <v/>
      </c>
      <c r="C14" s="53">
        <f>IF(AND(ISNUMBER(C7),ISNUMBER(C5)),C7/C5,"")</f>
        <v/>
      </c>
      <c r="D14" s="53">
        <f>IF(AND(ISNUMBER(D7),ISNUMBER(D5)),D7/D5,"")</f>
        <v/>
      </c>
      <c r="E14" s="53">
        <f>IF(AND(ISNUMBER(E7),ISNUMBER(E5)),E7/E5,"")</f>
        <v/>
      </c>
      <c r="F14" s="35" t="n"/>
      <c r="G14" s="33" t="n"/>
      <c r="H14" s="33" t="n"/>
      <c r="I14" s="33" t="n"/>
      <c r="J14" s="33" t="n"/>
      <c r="K14" s="33" t="n"/>
      <c r="L14" s="33" t="n"/>
    </row>
    <row r="15">
      <c r="A15" s="36" t="inlineStr">
        <is>
          <t>Cash from operations ÷ revenue</t>
        </is>
      </c>
      <c r="B15" s="53">
        <f>IF(AND(ISNUMBER(B9),ISNUMBER(B5)),B9/B5,"")</f>
        <v/>
      </c>
      <c r="C15" s="53">
        <f>IF(AND(ISNUMBER(C9),ISNUMBER(C5)),C9/C5,"")</f>
        <v/>
      </c>
      <c r="D15" s="53">
        <f>IF(AND(ISNUMBER(D9),ISNUMBER(D5)),D9/D5,"")</f>
        <v/>
      </c>
      <c r="E15" s="53">
        <f>IF(AND(ISNUMBER(E9),ISNUMBER(E5)),E9/E5,"")</f>
        <v/>
      </c>
      <c r="F15" s="35" t="n"/>
      <c r="G15" s="33" t="n"/>
      <c r="H15" s="33" t="n"/>
      <c r="I15" s="33" t="n"/>
      <c r="J15" s="33" t="n"/>
      <c r="K15" s="33" t="n"/>
      <c r="L15" s="33" t="n"/>
    </row>
    <row r="16">
      <c r="A16" s="52" t="inlineStr">
        <is>
          <t>Yahoo Finance standardised statements. Operating income can differ from the company's GAAP line where Yahoo normalises unusual items.</t>
        </is>
      </c>
      <c r="B16" s="35" t="n"/>
      <c r="C16" s="35" t="n"/>
      <c r="D16" s="35" t="n"/>
      <c r="E16" s="35" t="n"/>
      <c r="F16" s="35" t="n"/>
      <c r="G16" s="33" t="n"/>
      <c r="H16" s="33" t="n"/>
      <c r="I16" s="33" t="n"/>
      <c r="J16" s="33" t="n"/>
      <c r="K16" s="33" t="n"/>
      <c r="L16" s="33" t="n"/>
    </row>
    <row r="17">
      <c r="A17" s="30" t="n"/>
      <c r="B17" s="30" t="n"/>
      <c r="C17" s="30" t="n"/>
      <c r="D17" s="30" t="n"/>
      <c r="E17" s="30" t="n"/>
      <c r="F17" s="30" t="n"/>
    </row>
    <row r="18">
      <c r="A18" s="54" t="inlineStr">
        <is>
          <t>Earnings quality: are the earnings backed by cash?</t>
        </is>
      </c>
      <c r="B18" s="35" t="n"/>
      <c r="C18" s="35" t="n"/>
      <c r="D18" s="35" t="n"/>
      <c r="E18" s="35" t="n"/>
      <c r="F18" s="35" t="n"/>
      <c r="G18" s="33" t="n"/>
      <c r="H18" s="33" t="n"/>
      <c r="I18" s="33" t="n"/>
      <c r="J18" s="33" t="n"/>
      <c r="K18" s="33" t="n"/>
      <c r="L18" s="33" t="n"/>
    </row>
    <row r="19">
      <c r="A19" s="31" t="inlineStr">
        <is>
          <t>Statement line ($m)</t>
        </is>
      </c>
      <c r="B19" s="32" t="inlineStr">
        <is>
          <t>FY23</t>
        </is>
      </c>
      <c r="C19" s="32" t="inlineStr">
        <is>
          <t>FY24</t>
        </is>
      </c>
      <c r="D19" s="32" t="inlineStr">
        <is>
          <t>FY25</t>
        </is>
      </c>
      <c r="E19" s="32" t="inlineStr">
        <is>
          <t>FY26</t>
        </is>
      </c>
      <c r="F19" s="35" t="n"/>
      <c r="G19" s="33" t="n"/>
      <c r="H19" s="33" t="n"/>
      <c r="I19" s="33" t="n"/>
      <c r="J19" s="33" t="n"/>
      <c r="K19" s="33" t="n"/>
      <c r="L19" s="33" t="n"/>
    </row>
    <row r="20">
      <c r="A20" s="36" t="inlineStr">
        <is>
          <t>Revenue</t>
        </is>
      </c>
      <c r="B20" s="40" t="n">
        <v>6086</v>
      </c>
      <c r="C20" s="40" t="n">
        <v>6663</v>
      </c>
      <c r="D20" s="40" t="n">
        <v>7355</v>
      </c>
      <c r="E20" s="40" t="n">
        <v>20248</v>
      </c>
      <c r="F20" s="35" t="n"/>
      <c r="G20" s="33" t="n"/>
      <c r="H20" s="33" t="n"/>
      <c r="I20" s="33" t="n"/>
      <c r="J20" s="33" t="n"/>
      <c r="K20" s="33" t="n"/>
      <c r="L20" s="33" t="n"/>
    </row>
    <row r="21">
      <c r="A21" s="36" t="inlineStr">
        <is>
          <t>Cost of revenue</t>
        </is>
      </c>
      <c r="B21" s="40" t="n">
        <v>5656</v>
      </c>
      <c r="C21" s="40" t="n">
        <v>5591</v>
      </c>
      <c r="D21" s="40" t="n">
        <v>5143</v>
      </c>
      <c r="E21" s="40" t="n">
        <v>5776</v>
      </c>
      <c r="F21" s="35" t="n"/>
      <c r="G21" s="33" t="n"/>
      <c r="H21" s="33" t="n"/>
      <c r="I21" s="33" t="n"/>
      <c r="J21" s="33" t="n"/>
      <c r="K21" s="33" t="n"/>
      <c r="L21" s="33" t="n"/>
    </row>
    <row r="22">
      <c r="A22" s="36" t="inlineStr">
        <is>
          <t>SG&amp;A</t>
        </is>
      </c>
      <c r="B22" s="40" t="n">
        <v>558</v>
      </c>
      <c r="C22" s="40" t="n">
        <v>455</v>
      </c>
      <c r="D22" s="40" t="n">
        <v>573</v>
      </c>
      <c r="E22" s="40" t="n">
        <v>676</v>
      </c>
      <c r="F22" s="35" t="n"/>
      <c r="G22" s="33" t="n"/>
      <c r="H22" s="33" t="n"/>
      <c r="I22" s="33" t="n"/>
      <c r="J22" s="33" t="n"/>
      <c r="K22" s="33" t="n"/>
      <c r="L22" s="33" t="n"/>
    </row>
    <row r="23">
      <c r="A23" s="36" t="inlineStr">
        <is>
          <t>Receivables</t>
        </is>
      </c>
      <c r="B23" s="40" t="n"/>
      <c r="C23" s="40" t="n">
        <v>935</v>
      </c>
      <c r="D23" s="40" t="n">
        <v>1068</v>
      </c>
      <c r="E23" s="40" t="n">
        <v>4708</v>
      </c>
      <c r="F23" s="35" t="n"/>
      <c r="G23" s="33" t="n"/>
      <c r="H23" s="33" t="n"/>
      <c r="I23" s="33" t="n"/>
      <c r="J23" s="33" t="n"/>
      <c r="K23" s="33" t="n"/>
      <c r="L23" s="33" t="n"/>
    </row>
    <row r="24">
      <c r="A24" s="36" t="inlineStr">
        <is>
          <t>Current assets</t>
        </is>
      </c>
      <c r="B24" s="40" t="n"/>
      <c r="C24" s="40" t="n">
        <v>3548</v>
      </c>
      <c r="D24" s="40" t="n">
        <v>5086</v>
      </c>
      <c r="E24" s="40" t="n">
        <v>12780</v>
      </c>
      <c r="F24" s="35" t="n"/>
      <c r="G24" s="33" t="n"/>
      <c r="H24" s="33" t="n"/>
      <c r="I24" s="33" t="n"/>
      <c r="J24" s="33" t="n"/>
      <c r="K24" s="33" t="n"/>
      <c r="L24" s="33" t="n"/>
    </row>
    <row r="25">
      <c r="A25" s="36" t="inlineStr">
        <is>
          <t>Net PP&amp;E</t>
        </is>
      </c>
      <c r="B25" s="40" t="n"/>
      <c r="C25" s="40" t="n">
        <v>791</v>
      </c>
      <c r="D25" s="40" t="n">
        <v>619</v>
      </c>
      <c r="E25" s="40" t="n">
        <v>674</v>
      </c>
      <c r="F25" s="35" t="n"/>
      <c r="G25" s="33" t="n"/>
      <c r="H25" s="33" t="n"/>
      <c r="I25" s="33" t="n"/>
      <c r="J25" s="33" t="n"/>
      <c r="K25" s="33" t="n"/>
      <c r="L25" s="33" t="n"/>
    </row>
    <row r="26">
      <c r="A26" s="36" t="inlineStr">
        <is>
          <t>Total assets</t>
        </is>
      </c>
      <c r="B26" s="40" t="n"/>
      <c r="C26" s="40" t="n">
        <v>13506</v>
      </c>
      <c r="D26" s="40" t="n">
        <v>12985</v>
      </c>
      <c r="E26" s="40" t="n">
        <v>22507</v>
      </c>
      <c r="F26" s="35" t="n"/>
      <c r="G26" s="33" t="n"/>
      <c r="H26" s="33" t="n"/>
      <c r="I26" s="33" t="n"/>
      <c r="J26" s="33" t="n"/>
      <c r="K26" s="33" t="n"/>
      <c r="L26" s="33" t="n"/>
    </row>
    <row r="27">
      <c r="A27" s="36" t="inlineStr">
        <is>
          <t>Current liabilities</t>
        </is>
      </c>
      <c r="B27" s="40" t="n"/>
      <c r="C27" s="40" t="n">
        <v>2123</v>
      </c>
      <c r="D27" s="40" t="n">
        <v>1427</v>
      </c>
      <c r="E27" s="40" t="n">
        <v>5581</v>
      </c>
      <c r="F27" s="35" t="n"/>
      <c r="G27" s="33" t="n"/>
      <c r="H27" s="33" t="n"/>
      <c r="I27" s="33" t="n"/>
      <c r="J27" s="33" t="n"/>
      <c r="K27" s="33" t="n"/>
      <c r="L27" s="33" t="n"/>
    </row>
    <row r="28">
      <c r="A28" s="36" t="inlineStr">
        <is>
          <t>Long-term debt</t>
        </is>
      </c>
      <c r="B28" s="40" t="n"/>
      <c r="C28" s="40" t="n"/>
      <c r="D28" s="40" t="n">
        <v>1829</v>
      </c>
      <c r="E28" s="40" t="n"/>
      <c r="F28" s="35" t="n"/>
      <c r="G28" s="33" t="n"/>
      <c r="H28" s="33" t="n"/>
      <c r="I28" s="33" t="n"/>
      <c r="J28" s="33" t="n"/>
      <c r="K28" s="33" t="n"/>
      <c r="L28" s="33" t="n"/>
    </row>
    <row r="29">
      <c r="A29" s="36" t="inlineStr">
        <is>
          <t>Depreciation &amp; amortisation</t>
        </is>
      </c>
      <c r="B29" s="40" t="n">
        <v>448</v>
      </c>
      <c r="C29" s="40" t="n">
        <v>224</v>
      </c>
      <c r="D29" s="40" t="n">
        <v>163</v>
      </c>
      <c r="E29" s="40" t="n">
        <v>149</v>
      </c>
      <c r="F29" s="35" t="n"/>
      <c r="G29" s="33" t="n"/>
      <c r="H29" s="33" t="n"/>
      <c r="I29" s="33" t="n"/>
      <c r="J29" s="33" t="n"/>
      <c r="K29" s="33" t="n"/>
      <c r="L29" s="33" t="n"/>
    </row>
    <row r="30">
      <c r="A30" s="36" t="inlineStr">
        <is>
          <t>Net income (continuing)</t>
        </is>
      </c>
      <c r="B30" s="40" t="n">
        <v>-2143</v>
      </c>
      <c r="C30" s="40" t="n">
        <v>-672</v>
      </c>
      <c r="D30" s="40" t="n">
        <v>-1641</v>
      </c>
      <c r="E30" s="40" t="n">
        <v>11433</v>
      </c>
      <c r="F30" s="35" t="n"/>
      <c r="G30" s="33" t="n"/>
      <c r="H30" s="33" t="n"/>
      <c r="I30" s="33" t="n"/>
      <c r="J30" s="33" t="n"/>
      <c r="K30" s="33" t="n"/>
      <c r="L30" s="33" t="n"/>
    </row>
    <row r="31">
      <c r="A31" s="36" t="inlineStr">
        <is>
          <t>Operating cash flow</t>
        </is>
      </c>
      <c r="B31" s="40" t="n">
        <v>-713</v>
      </c>
      <c r="C31" s="40" t="n">
        <v>-309</v>
      </c>
      <c r="D31" s="40" t="n">
        <v>84</v>
      </c>
      <c r="E31" s="40" t="n">
        <v>11671</v>
      </c>
      <c r="F31" s="35" t="n"/>
      <c r="G31" s="33" t="n"/>
      <c r="H31" s="33" t="n"/>
      <c r="I31" s="33" t="n"/>
      <c r="J31" s="33" t="n"/>
      <c r="K31" s="33" t="n"/>
      <c r="L31" s="33" t="n"/>
    </row>
    <row r="32">
      <c r="A32" s="52" t="inlineStr">
        <is>
          <t>Yahoo Finance fundamentals (annual): revenue, cost of revenue, SG&amp;A, receivables, current assets, net PP&amp;E, total assets, current liabilities, long-term debt, D&amp;A, net income (continuing), operating cash flow</t>
        </is>
      </c>
      <c r="B32" s="35" t="n"/>
      <c r="C32" s="35" t="n"/>
      <c r="D32" s="35" t="n"/>
      <c r="E32" s="35" t="n"/>
      <c r="F32" s="35" t="n"/>
      <c r="G32" s="33" t="n"/>
      <c r="H32" s="33" t="n"/>
      <c r="I32" s="33" t="n"/>
      <c r="J32" s="33" t="n"/>
      <c r="K32" s="33" t="n"/>
      <c r="L32" s="33" t="n"/>
    </row>
    <row r="33">
      <c r="A33" s="30" t="n"/>
      <c r="B33" s="30" t="n"/>
      <c r="C33" s="30" t="n"/>
      <c r="D33" s="30" t="n"/>
      <c r="E33" s="30" t="n"/>
      <c r="F33" s="30" t="n"/>
    </row>
    <row r="34">
      <c r="A34" s="31" t="inlineStr">
        <is>
          <t>Beneish index (blank = input missing; set to 1 in the score)</t>
        </is>
      </c>
      <c r="B34" s="32" t="inlineStr">
        <is>
          <t>FY24</t>
        </is>
      </c>
      <c r="C34" s="32" t="inlineStr">
        <is>
          <t>FY25</t>
        </is>
      </c>
      <c r="D34" s="32" t="inlineStr">
        <is>
          <t>FY26</t>
        </is>
      </c>
      <c r="E34" s="32" t="inlineStr">
        <is>
          <t>Coefficient</t>
        </is>
      </c>
      <c r="F34" s="32" t="inlineStr">
        <is>
          <t>Manipulators' mean</t>
        </is>
      </c>
      <c r="G34" s="33" t="n"/>
      <c r="H34" s="33" t="n"/>
      <c r="I34" s="33" t="n"/>
      <c r="J34" s="33" t="n"/>
      <c r="K34" s="33" t="n"/>
      <c r="L34" s="33" t="n"/>
    </row>
    <row r="35">
      <c r="A35" s="36" t="inlineStr">
        <is>
          <t>DSRI: Days sales in receivables</t>
        </is>
      </c>
      <c r="B35" s="48">
        <f>IF(COUNT(C23,C20,B23,B20)=4,(C23/C20)/(B23/B20),NA())</f>
        <v/>
      </c>
      <c r="C35" s="48">
        <f>IF(COUNT(D23,D20,C23,C20)=4,(D23/D20)/(C23/C20),NA())</f>
        <v/>
      </c>
      <c r="D35" s="48">
        <f>IF(COUNT(E23,E20,D23,D20)=4,(E23/E20)/(D23/D20),NA())</f>
        <v/>
      </c>
      <c r="E35" s="55" t="n">
        <v>0.92</v>
      </c>
      <c r="F35" s="52" t="n">
        <v>1.465</v>
      </c>
      <c r="G35" s="33" t="n"/>
      <c r="H35" s="33" t="n"/>
      <c r="I35" s="33" t="n"/>
      <c r="J35" s="33" t="n"/>
      <c r="K35" s="33" t="n"/>
      <c r="L35" s="33" t="n"/>
    </row>
    <row r="36">
      <c r="A36" s="36" t="inlineStr">
        <is>
          <t>GMI: Gross margin, prior ÷ current</t>
        </is>
      </c>
      <c r="B36" s="48">
        <f>IF(COUNT(C20,C21,B20,B21)=4,((B20-B21)/B20)/((C20-C21)/C20),NA())</f>
        <v/>
      </c>
      <c r="C36" s="48">
        <f>IF(COUNT(D20,D21,C20,C21)=4,((C20-C21)/C20)/((D20-D21)/D20),NA())</f>
        <v/>
      </c>
      <c r="D36" s="48">
        <f>IF(COUNT(E20,E21,D20,D21)=4,((D20-D21)/D20)/((E20-E21)/E20),NA())</f>
        <v/>
      </c>
      <c r="E36" s="55" t="n">
        <v>0.528</v>
      </c>
      <c r="F36" s="52" t="n">
        <v>1.193</v>
      </c>
      <c r="G36" s="33" t="n"/>
      <c r="H36" s="33" t="n"/>
      <c r="I36" s="33" t="n"/>
      <c r="J36" s="33" t="n"/>
      <c r="K36" s="33" t="n"/>
      <c r="L36" s="33" t="n"/>
    </row>
    <row r="37">
      <c r="A37" s="36" t="inlineStr">
        <is>
          <t>AQI: Asset quality</t>
        </is>
      </c>
      <c r="B37" s="48">
        <f>IF(COUNT(C24,C25,C26,B24,B25,B26)=6,(1-(C24+C25)/C26)/(1-(B24+B25)/B26),NA())</f>
        <v/>
      </c>
      <c r="C37" s="48">
        <f>IF(COUNT(D24,D25,D26,C24,C25,C26)=6,(1-(D24+D25)/D26)/(1-(C24+C25)/C26),NA())</f>
        <v/>
      </c>
      <c r="D37" s="48">
        <f>IF(COUNT(E24,E25,E26,D24,D25,D26)=6,(1-(E24+E25)/E26)/(1-(D24+D25)/D26),NA())</f>
        <v/>
      </c>
      <c r="E37" s="55" t="n">
        <v>0.404</v>
      </c>
      <c r="F37" s="52" t="n">
        <v>1.254</v>
      </c>
      <c r="G37" s="33" t="n"/>
      <c r="H37" s="33" t="n"/>
      <c r="I37" s="33" t="n"/>
      <c r="J37" s="33" t="n"/>
      <c r="K37" s="33" t="n"/>
      <c r="L37" s="33" t="n"/>
    </row>
    <row r="38">
      <c r="A38" s="36" t="inlineStr">
        <is>
          <t>SGI: Sales growth</t>
        </is>
      </c>
      <c r="B38" s="48">
        <f>IF(COUNT(C20,B20)=2,C20/B20,NA())</f>
        <v/>
      </c>
      <c r="C38" s="48">
        <f>IF(COUNT(D20,C20)=2,D20/C20,NA())</f>
        <v/>
      </c>
      <c r="D38" s="48">
        <f>IF(COUNT(E20,D20)=2,E20/D20,NA())</f>
        <v/>
      </c>
      <c r="E38" s="55" t="n">
        <v>0.892</v>
      </c>
      <c r="F38" s="52" t="n">
        <v>1.607</v>
      </c>
      <c r="G38" s="33" t="n"/>
      <c r="H38" s="33" t="n"/>
      <c r="I38" s="33" t="n"/>
      <c r="J38" s="33" t="n"/>
      <c r="K38" s="33" t="n"/>
      <c r="L38" s="33" t="n"/>
    </row>
    <row r="39">
      <c r="A39" s="36" t="inlineStr">
        <is>
          <t>DEPI: Depreciation rate, prior ÷ current</t>
        </is>
      </c>
      <c r="B39" s="48">
        <f>IF(COUNT(C29,C25,B29,B25)=4,(B29/(B29+B25))/(C29/(C29+C25)),NA())</f>
        <v/>
      </c>
      <c r="C39" s="48">
        <f>IF(COUNT(D29,D25,C29,C25)=4,(C29/(C29+C25))/(D29/(D29+D25)),NA())</f>
        <v/>
      </c>
      <c r="D39" s="48">
        <f>IF(COUNT(E29,E25,D29,D25)=4,(D29/(D29+D25))/(E29/(E29+E25)),NA())</f>
        <v/>
      </c>
      <c r="E39" s="55" t="n">
        <v>0.115</v>
      </c>
      <c r="F39" s="52" t="n">
        <v>1.077</v>
      </c>
      <c r="G39" s="33" t="n"/>
      <c r="H39" s="33" t="n"/>
      <c r="I39" s="33" t="n"/>
      <c r="J39" s="33" t="n"/>
      <c r="K39" s="33" t="n"/>
      <c r="L39" s="33" t="n"/>
    </row>
    <row r="40">
      <c r="A40" s="36" t="inlineStr">
        <is>
          <t>SGAI: SG&amp;A ÷ sales</t>
        </is>
      </c>
      <c r="B40" s="48">
        <f>IF(COUNT(C22,C20,B22,B20)=4,(C22/C20)/(B22/B20),NA())</f>
        <v/>
      </c>
      <c r="C40" s="48">
        <f>IF(COUNT(D22,D20,C22,C20)=4,(D22/D20)/(C22/C20),NA())</f>
        <v/>
      </c>
      <c r="D40" s="48">
        <f>IF(COUNT(E22,E20,D22,D20)=4,(E22/E20)/(D22/D20),NA())</f>
        <v/>
      </c>
      <c r="E40" s="55" t="n">
        <v>-0.172</v>
      </c>
      <c r="F40" s="52" t="n">
        <v>1.041</v>
      </c>
      <c r="G40" s="33" t="n"/>
      <c r="H40" s="33" t="n"/>
      <c r="I40" s="33" t="n"/>
      <c r="J40" s="33" t="n"/>
      <c r="K40" s="33" t="n"/>
      <c r="L40" s="33" t="n"/>
    </row>
    <row r="41">
      <c r="A41" s="36" t="inlineStr">
        <is>
          <t>LVGI: Leverage</t>
        </is>
      </c>
      <c r="B41" s="48">
        <f>IF(COUNT(C27,C28,C26,B27,B28,B26)=6,((C27+C28)/C26)/((B27+B28)/B26),NA())</f>
        <v/>
      </c>
      <c r="C41" s="48">
        <f>IF(COUNT(D27,D28,D26,C27,C28,C26)=6,((D27+D28)/D26)/((C27+C28)/C26),NA())</f>
        <v/>
      </c>
      <c r="D41" s="48">
        <f>IF(COUNT(E27,E28,E26,D27,D28,D26)=6,((E27+E28)/E26)/((D27+D28)/D26),NA())</f>
        <v/>
      </c>
      <c r="E41" s="55" t="n">
        <v>-0.327</v>
      </c>
      <c r="F41" s="52" t="n">
        <v>1.111</v>
      </c>
      <c r="G41" s="33" t="n"/>
      <c r="H41" s="33" t="n"/>
      <c r="I41" s="33" t="n"/>
      <c r="J41" s="33" t="n"/>
      <c r="K41" s="33" t="n"/>
      <c r="L41" s="33" t="n"/>
    </row>
    <row r="42">
      <c r="A42" s="36" t="inlineStr">
        <is>
          <t>TATA: Accruals ÷ total assets</t>
        </is>
      </c>
      <c r="B42" s="48">
        <f>IF(COUNT(C30,C31,C26)=3,(C30-C31)/C26,NA())</f>
        <v/>
      </c>
      <c r="C42" s="48">
        <f>IF(COUNT(D30,D31,D26)=3,(D30-D31)/D26,NA())</f>
        <v/>
      </c>
      <c r="D42" s="48">
        <f>IF(COUNT(E30,E31,E26)=3,(E30-E31)/E26,NA())</f>
        <v/>
      </c>
      <c r="E42" s="55" t="n">
        <v>4.679</v>
      </c>
      <c r="F42" s="52" t="n">
        <v>0.031</v>
      </c>
      <c r="G42" s="33" t="n"/>
      <c r="H42" s="33" t="n"/>
      <c r="I42" s="33" t="n"/>
      <c r="J42" s="33" t="n"/>
      <c r="K42" s="33" t="n"/>
      <c r="L42" s="33" t="n"/>
    </row>
    <row r="43">
      <c r="A43" s="34" t="inlineStr">
        <is>
          <t>M-score = −4.84 + Σ coefficient × index</t>
        </is>
      </c>
      <c r="B43" s="56">
        <f>IF(OR(ISERROR(B42),(ISERROR(B35)+ISERROR(B36)+ISERROR(B37)+ISERROR(B38)+ISERROR(B39)+ISERROR(B40)+ISERROR(B41))&gt;2),NA(),-4.84+E35*IFERROR(B35,1)+E36*IFERROR(B36,1)+E37*IFERROR(B37,1)+E38*IFERROR(B38,1)+E39*IFERROR(B39,1)+E40*IFERROR(B40,1)+E41*IFERROR(B41,1)+E42*B42)</f>
        <v/>
      </c>
      <c r="C43" s="56">
        <f>IF(OR(ISERROR(C42),(ISERROR(C35)+ISERROR(C36)+ISERROR(C37)+ISERROR(C38)+ISERROR(C39)+ISERROR(C40)+ISERROR(C41))&gt;2),NA(),-4.84+E35*IFERROR(C35,1)+E36*IFERROR(C36,1)+E37*IFERROR(C37,1)+E38*IFERROR(C38,1)+E39*IFERROR(C39,1)+E40*IFERROR(C40,1)+E41*IFERROR(C41,1)+E42*C42)</f>
        <v/>
      </c>
      <c r="D43" s="56">
        <f>IF(OR(ISERROR(D42),(ISERROR(D35)+ISERROR(D36)+ISERROR(D37)+ISERROR(D38)+ISERROR(D39)+ISERROR(D40)+ISERROR(D41))&gt;2),NA(),-4.84+E35*IFERROR(D35,1)+E36*IFERROR(D36,1)+E37*IFERROR(D37,1)+E38*IFERROR(D38,1)+E39*IFERROR(D39,1)+E40*IFERROR(D40,1)+E41*IFERROR(D41,1)+E42*D42)</f>
        <v/>
      </c>
      <c r="E43" s="35" t="n"/>
      <c r="F43" s="35" t="n"/>
      <c r="G43" s="33" t="n"/>
      <c r="H43" s="33" t="n"/>
      <c r="I43" s="33" t="n"/>
      <c r="J43" s="33" t="n"/>
      <c r="K43" s="33" t="n"/>
      <c r="L43" s="33" t="n"/>
    </row>
    <row r="44">
      <c r="A44" s="30" t="n"/>
      <c r="B44" s="30" t="n"/>
      <c r="C44" s="30" t="n"/>
      <c r="D44" s="30" t="n"/>
      <c r="E44" s="30" t="n"/>
      <c r="F44" s="30" t="n"/>
    </row>
    <row r="45">
      <c r="A45" s="36" t="inlineStr">
        <is>
          <t>Accruals ÷ average total assets (Sloan): (NI − CFO) ÷ avg assets</t>
        </is>
      </c>
      <c r="B45" s="53">
        <f>IF(COUNT(E30,E31,E26,D26)=4,(E30-E31)/((E26+D26)/2),NA())</f>
        <v/>
      </c>
      <c r="C45" s="35" t="n"/>
      <c r="D45" s="35" t="n"/>
      <c r="E45" s="35" t="n"/>
      <c r="F45" s="35" t="n"/>
      <c r="G45" s="33" t="n"/>
      <c r="H45" s="33" t="n"/>
      <c r="I45" s="33" t="n"/>
      <c r="J45" s="33" t="n"/>
      <c r="K45" s="33" t="n"/>
      <c r="L45" s="33" t="n"/>
    </row>
    <row r="46">
      <c r="A46" s="36" t="inlineStr">
        <is>
          <t>Operating cash flow ÷ net income, last 3 years</t>
        </is>
      </c>
      <c r="B46" s="57">
        <f>IF(AND(COUNT(C30:E30)=3,COUNT(C31:E31)=3,SUM(C30:E30)&gt;0),SUM(C31:E31)/SUM(C30:E30),NA())</f>
        <v/>
      </c>
      <c r="C46" s="35" t="n"/>
      <c r="D46" s="35" t="n"/>
      <c r="E46" s="35" t="n"/>
      <c r="F46" s="35" t="n"/>
      <c r="G46" s="33" t="n"/>
      <c r="H46" s="33" t="n"/>
      <c r="I46" s="33" t="n"/>
      <c r="J46" s="33" t="n"/>
      <c r="K46" s="33" t="n"/>
      <c r="L46" s="33" t="n"/>
    </row>
    <row r="47">
      <c r="A47" s="36" t="inlineStr">
        <is>
          <t>Red flags: M &gt; −1.78 · accruals &gt; 10% · cash conversion &lt; 50%</t>
        </is>
      </c>
      <c r="B47" s="58">
        <f>IF(ISNUMBER(eq_m),--(eq_m&gt;-1.78),0)+IF(ISNUMBER(eq_accr),--(eq_accr&gt;0.1),0)+IF(ISNUMBER(eq_cc),--(eq_cc&lt;0.5),0)</f>
        <v/>
      </c>
      <c r="C47" s="35" t="n"/>
      <c r="D47" s="35" t="n"/>
      <c r="E47" s="35" t="n"/>
      <c r="F47" s="35" t="n"/>
      <c r="G47" s="33" t="n"/>
      <c r="H47" s="33" t="n"/>
      <c r="I47" s="33" t="n"/>
      <c r="J47" s="33" t="n"/>
      <c r="K47" s="33" t="n"/>
      <c r="L47" s="33" t="n"/>
    </row>
    <row r="48">
      <c r="A48" s="36" t="inlineStr">
        <is>
          <t>Amber flags: M &gt; −2.22 · accruals &gt; 5% · cash conversion &lt; 80%</t>
        </is>
      </c>
      <c r="B48" s="58">
        <f>IF(ISNUMBER(eq_m),--AND(eq_m&gt;-2.22,eq_m&lt;=-1.78),0)+IF(ISNUMBER(eq_accr),--AND(eq_accr&gt;0.05,eq_accr&lt;=0.1),0)+IF(ISNUMBER(eq_cc),--AND(eq_cc&gt;=0.5,eq_cc&lt;0.8),0)</f>
        <v/>
      </c>
      <c r="C48" s="35" t="n"/>
      <c r="D48" s="35" t="n"/>
      <c r="E48" s="35" t="n"/>
      <c r="F48" s="35" t="n"/>
      <c r="G48" s="33" t="n"/>
      <c r="H48" s="33" t="n"/>
      <c r="I48" s="33" t="n"/>
      <c r="J48" s="33" t="n"/>
      <c r="K48" s="33" t="n"/>
      <c r="L48" s="33" t="n"/>
    </row>
    <row r="49">
      <c r="A49" s="34" t="inlineStr">
        <is>
          <t>Grade (A none · B one amber · C one red or two ambers · D two reds)</t>
        </is>
      </c>
      <c r="B49" s="59">
        <f>IF(AND(NOT(ISNUMBER(eq_m)),NOT(ISNUMBER(eq_accr)),NOT(ISNUMBER(eq_cc))),"n/a",IF(eq_red&gt;=2,"D",IF(OR(eq_red=1,eq_amber&gt;=2),"C",IF(eq_amber=1,"B","A"))))</f>
        <v/>
      </c>
      <c r="C49" s="35" t="n"/>
      <c r="D49" s="35" t="n"/>
      <c r="E49" s="35" t="n"/>
      <c r="F49" s="35" t="n"/>
      <c r="G49" s="33" t="n"/>
      <c r="H49" s="33" t="n"/>
      <c r="I49" s="33" t="n"/>
      <c r="J49" s="33" t="n"/>
      <c r="K49" s="33" t="n"/>
      <c r="L49" s="33" t="n"/>
    </row>
    <row r="50">
      <c r="A50" s="52" t="inlineStr">
        <is>
          <t>Beneish (1999): M above −1.78 marked firms later caught manipulating. A flag is a reason to read the notes, not proof.</t>
        </is>
      </c>
      <c r="B50" s="35" t="n"/>
      <c r="C50" s="35" t="n"/>
      <c r="D50" s="35" t="n"/>
      <c r="E50" s="35" t="n"/>
      <c r="F50" s="35" t="n"/>
      <c r="G50" s="33" t="n"/>
      <c r="H50" s="33" t="n"/>
      <c r="I50" s="33" t="n"/>
      <c r="J50" s="33" t="n"/>
      <c r="K50" s="33" t="n"/>
      <c r="L50" s="33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E6DB4"/>
    <outlinePr summaryBelow="1" summaryRight="1"/>
    <pageSetUpPr fitToPage="1"/>
  </sheetPr>
  <dimension ref="A1:M2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5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25" t="inlineStr">
        <is>
          <t>Step 2 · Future cash flows</t>
        </is>
      </c>
      <c r="B1" s="26" t="n"/>
      <c r="C1" s="49">
        <f>"Scenario: "&amp;scen_name&amp;"  ·  switch on Dashboard"</f>
        <v/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</row>
    <row r="2" ht="16" customHeight="1">
      <c r="A2" s="27" t="inlineStr">
        <is>
          <t>Revenue by segment → EBIT → NOPAT → + D&amp;A − capex − ΔNWC = unlevered free cash flow ($m)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</row>
    <row r="3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</row>
    <row r="4">
      <c r="A4" s="31" t="inlineStr">
        <is>
          <t>Line</t>
        </is>
      </c>
      <c r="B4" s="32" t="inlineStr">
        <is>
          <t>Total</t>
        </is>
      </c>
      <c r="C4" s="32" t="inlineStr">
        <is>
          <t>How it is calculated</t>
        </is>
      </c>
      <c r="D4" s="32" t="inlineStr">
        <is>
          <t>FY27</t>
        </is>
      </c>
      <c r="E4" s="32" t="inlineStr">
        <is>
          <t>FY28</t>
        </is>
      </c>
      <c r="F4" s="32" t="inlineStr">
        <is>
          <t>FY29</t>
        </is>
      </c>
      <c r="G4" s="32" t="inlineStr">
        <is>
          <t>FY30</t>
        </is>
      </c>
      <c r="H4" s="32" t="inlineStr">
        <is>
          <t>FY31</t>
        </is>
      </c>
      <c r="I4" s="32" t="inlineStr">
        <is>
          <t>FY32</t>
        </is>
      </c>
      <c r="J4" s="32" t="inlineStr">
        <is>
          <t>FY33</t>
        </is>
      </c>
      <c r="K4" s="32" t="inlineStr">
        <is>
          <t>FY34</t>
        </is>
      </c>
      <c r="L4" s="32" t="inlineStr">
        <is>
          <t>FY35</t>
        </is>
      </c>
      <c r="M4" s="32" t="inlineStr">
        <is>
          <t>FY36</t>
        </is>
      </c>
    </row>
    <row r="5">
      <c r="A5" s="52" t="inlineStr">
        <is>
          <t>Year index i</t>
        </is>
      </c>
      <c r="B5" s="35" t="n"/>
      <c r="C5" s="35" t="n"/>
      <c r="D5" s="52" t="n">
        <v>0</v>
      </c>
      <c r="E5" s="52" t="n">
        <v>1</v>
      </c>
      <c r="F5" s="52" t="n">
        <v>2</v>
      </c>
      <c r="G5" s="52" t="n">
        <v>3</v>
      </c>
      <c r="H5" s="52" t="n">
        <v>4</v>
      </c>
      <c r="I5" s="52" t="n">
        <v>5</v>
      </c>
      <c r="J5" s="52" t="n">
        <v>6</v>
      </c>
      <c r="K5" s="52" t="n">
        <v>7</v>
      </c>
      <c r="L5" s="52" t="n">
        <v>8</v>
      </c>
      <c r="M5" s="52" t="n">
        <v>9</v>
      </c>
    </row>
    <row r="6">
      <c r="A6" s="36" t="inlineStr">
        <is>
          <t>Growth: Total revenue</t>
        </is>
      </c>
      <c r="B6" s="35" t="n"/>
      <c r="C6" s="52" t="inlineStr">
        <is>
          <t>years 2–5 from Scenarios; then linear fade to terminal g over 5 years</t>
        </is>
      </c>
      <c r="D6" s="53" t="n"/>
      <c r="E6" s="53">
        <f>s_g_total_0</f>
        <v/>
      </c>
      <c r="F6" s="53">
        <f>s_g_total_1</f>
        <v/>
      </c>
      <c r="G6" s="53">
        <f>s_g_total_2</f>
        <v/>
      </c>
      <c r="H6" s="53">
        <f>s_g_total_3</f>
        <v/>
      </c>
      <c r="I6" s="53">
        <f>s_g_total_3+(g-s_g_total_3)*(I$5-4)/5</f>
        <v/>
      </c>
      <c r="J6" s="53">
        <f>s_g_total_3+(g-s_g_total_3)*(J$5-4)/5</f>
        <v/>
      </c>
      <c r="K6" s="53">
        <f>s_g_total_3+(g-s_g_total_3)*(K$5-4)/5</f>
        <v/>
      </c>
      <c r="L6" s="53">
        <f>s_g_total_3+(g-s_g_total_3)*(L$5-4)/5</f>
        <v/>
      </c>
      <c r="M6" s="53">
        <f>s_g_total_3+(g-s_g_total_3)*(M$5-4)/5</f>
        <v/>
      </c>
    </row>
    <row r="7">
      <c r="A7" s="36" t="inlineStr">
        <is>
          <t>Revenue: Total revenue</t>
        </is>
      </c>
      <c r="B7" s="35" t="n"/>
      <c r="C7" s="52" t="inlineStr">
        <is>
          <t>year 1 from Inputs; then prior × (1 + growth)</t>
        </is>
      </c>
      <c r="D7" s="42">
        <f>segy1_total</f>
        <v/>
      </c>
      <c r="E7" s="42">
        <f>D7*(1+E6)</f>
        <v/>
      </c>
      <c r="F7" s="42">
        <f>E7*(1+F6)</f>
        <v/>
      </c>
      <c r="G7" s="42">
        <f>F7*(1+G6)</f>
        <v/>
      </c>
      <c r="H7" s="42">
        <f>G7*(1+H6)</f>
        <v/>
      </c>
      <c r="I7" s="42">
        <f>H7*(1+I6)</f>
        <v/>
      </c>
      <c r="J7" s="42">
        <f>I7*(1+J6)</f>
        <v/>
      </c>
      <c r="K7" s="42">
        <f>J7*(1+K6)</f>
        <v/>
      </c>
      <c r="L7" s="42">
        <f>K7*(1+L6)</f>
        <v/>
      </c>
      <c r="M7" s="42">
        <f>L7*(1+M6)</f>
        <v/>
      </c>
    </row>
    <row r="8">
      <c r="A8" s="36" t="inlineStr">
        <is>
          <t>EBIT margin: Company EBIT margin</t>
        </is>
      </c>
      <c r="B8" s="35" t="n"/>
      <c r="C8" s="52" t="inlineStr">
        <is>
          <t>year 1 → long run in a straight line over 4 years, flat after</t>
        </is>
      </c>
      <c r="D8" s="53">
        <f>IF(D$5&gt;=4,s_m1_total,s_m0_total+(s_m1_total-s_m0_total)*D$5/4)</f>
        <v/>
      </c>
      <c r="E8" s="53">
        <f>IF(E$5&gt;=4,s_m1_total,s_m0_total+(s_m1_total-s_m0_total)*E$5/4)</f>
        <v/>
      </c>
      <c r="F8" s="53">
        <f>IF(F$5&gt;=4,s_m1_total,s_m0_total+(s_m1_total-s_m0_total)*F$5/4)</f>
        <v/>
      </c>
      <c r="G8" s="53">
        <f>IF(G$5&gt;=4,s_m1_total,s_m0_total+(s_m1_total-s_m0_total)*G$5/4)</f>
        <v/>
      </c>
      <c r="H8" s="53">
        <f>IF(H$5&gt;=4,s_m1_total,s_m0_total+(s_m1_total-s_m0_total)*H$5/4)</f>
        <v/>
      </c>
      <c r="I8" s="53">
        <f>IF(I$5&gt;=4,s_m1_total,s_m0_total+(s_m1_total-s_m0_total)*I$5/4)</f>
        <v/>
      </c>
      <c r="J8" s="53">
        <f>IF(J$5&gt;=4,s_m1_total,s_m0_total+(s_m1_total-s_m0_total)*J$5/4)</f>
        <v/>
      </c>
      <c r="K8" s="53">
        <f>IF(K$5&gt;=4,s_m1_total,s_m0_total+(s_m1_total-s_m0_total)*K$5/4)</f>
        <v/>
      </c>
      <c r="L8" s="53">
        <f>IF(L$5&gt;=4,s_m1_total,s_m0_total+(s_m1_total-s_m0_total)*L$5/4)</f>
        <v/>
      </c>
      <c r="M8" s="53">
        <f>IF(M$5&gt;=4,s_m1_total,s_m0_total+(s_m1_total-s_m0_total)*M$5/4)</f>
        <v/>
      </c>
    </row>
    <row r="9">
      <c r="A9" s="34" t="inlineStr">
        <is>
          <t>Revenue</t>
        </is>
      </c>
      <c r="B9" s="42">
        <f>SUM(D9:M9)</f>
        <v/>
      </c>
      <c r="C9" s="52" t="inlineStr">
        <is>
          <t>sum of segments</t>
        </is>
      </c>
      <c r="D9" s="60">
        <f>D7</f>
        <v/>
      </c>
      <c r="E9" s="60">
        <f>E7</f>
        <v/>
      </c>
      <c r="F9" s="60">
        <f>F7</f>
        <v/>
      </c>
      <c r="G9" s="60">
        <f>G7</f>
        <v/>
      </c>
      <c r="H9" s="60">
        <f>H7</f>
        <v/>
      </c>
      <c r="I9" s="60">
        <f>I7</f>
        <v/>
      </c>
      <c r="J9" s="60">
        <f>J7</f>
        <v/>
      </c>
      <c r="K9" s="60">
        <f>K7</f>
        <v/>
      </c>
      <c r="L9" s="60">
        <f>L7</f>
        <v/>
      </c>
      <c r="M9" s="60">
        <f>M7</f>
        <v/>
      </c>
    </row>
    <row r="10">
      <c r="A10" s="36" t="inlineStr">
        <is>
          <t>Revenue growth</t>
        </is>
      </c>
      <c r="B10" s="35" t="n"/>
      <c r="C10" s="52" t="inlineStr">
        <is>
          <t>revenue ÷ prior − 1 (year 1 vs last reported year)</t>
        </is>
      </c>
      <c r="D10" s="53">
        <f>D9/rev_y0-1</f>
        <v/>
      </c>
      <c r="E10" s="53">
        <f>E9/D9-1</f>
        <v/>
      </c>
      <c r="F10" s="53">
        <f>F9/E9-1</f>
        <v/>
      </c>
      <c r="G10" s="53">
        <f>G9/F9-1</f>
        <v/>
      </c>
      <c r="H10" s="53">
        <f>H9/G9-1</f>
        <v/>
      </c>
      <c r="I10" s="53">
        <f>I9/H9-1</f>
        <v/>
      </c>
      <c r="J10" s="53">
        <f>J9/I9-1</f>
        <v/>
      </c>
      <c r="K10" s="53">
        <f>K9/J9-1</f>
        <v/>
      </c>
      <c r="L10" s="53">
        <f>L9/K9-1</f>
        <v/>
      </c>
      <c r="M10" s="53">
        <f>M9/L9-1</f>
        <v/>
      </c>
    </row>
    <row r="11">
      <c r="A11" s="36" t="inlineStr">
        <is>
          <t>Segment operating income</t>
        </is>
      </c>
      <c r="B11" s="35" t="n"/>
      <c r="C11" s="52" t="inlineStr">
        <is>
          <t>Σ segment revenue × its margin group</t>
        </is>
      </c>
      <c r="D11" s="42">
        <f>D7*D8</f>
        <v/>
      </c>
      <c r="E11" s="42">
        <f>E7*E8</f>
        <v/>
      </c>
      <c r="F11" s="42">
        <f>F7*F8</f>
        <v/>
      </c>
      <c r="G11" s="42">
        <f>G7*G8</f>
        <v/>
      </c>
      <c r="H11" s="42">
        <f>H7*H8</f>
        <v/>
      </c>
      <c r="I11" s="42">
        <f>I7*I8</f>
        <v/>
      </c>
      <c r="J11" s="42">
        <f>J7*J8</f>
        <v/>
      </c>
      <c r="K11" s="42">
        <f>K7*K8</f>
        <v/>
      </c>
      <c r="L11" s="42">
        <f>L7*L8</f>
        <v/>
      </c>
      <c r="M11" s="42">
        <f>M7*M8</f>
        <v/>
      </c>
    </row>
    <row r="12">
      <c r="A12" s="36" t="inlineStr">
        <is>
          <t>− Corporate costs (SBC, amortisation, other)</t>
        </is>
      </c>
      <c r="B12" s="35" t="n"/>
      <c r="C12" s="52" t="inlineStr">
        <is>
          <t>corporate % × revenue</t>
        </is>
      </c>
      <c r="D12" s="42">
        <f>corp_pct*D9</f>
        <v/>
      </c>
      <c r="E12" s="42">
        <f>corp_pct*E9</f>
        <v/>
      </c>
      <c r="F12" s="42">
        <f>corp_pct*F9</f>
        <v/>
      </c>
      <c r="G12" s="42">
        <f>corp_pct*G9</f>
        <v/>
      </c>
      <c r="H12" s="42">
        <f>corp_pct*H9</f>
        <v/>
      </c>
      <c r="I12" s="42">
        <f>corp_pct*I9</f>
        <v/>
      </c>
      <c r="J12" s="42">
        <f>corp_pct*J9</f>
        <v/>
      </c>
      <c r="K12" s="42">
        <f>corp_pct*K9</f>
        <v/>
      </c>
      <c r="L12" s="42">
        <f>corp_pct*L9</f>
        <v/>
      </c>
      <c r="M12" s="42">
        <f>corp_pct*M9</f>
        <v/>
      </c>
    </row>
    <row r="13">
      <c r="A13" s="34" t="inlineStr">
        <is>
          <t>EBIT</t>
        </is>
      </c>
      <c r="B13" s="42">
        <f>SUM(D13:M13)</f>
        <v/>
      </c>
      <c r="C13" s="52" t="inlineStr">
        <is>
          <t>segment OI − corporate costs</t>
        </is>
      </c>
      <c r="D13" s="60">
        <f>D11-D12</f>
        <v/>
      </c>
      <c r="E13" s="60">
        <f>E11-E12</f>
        <v/>
      </c>
      <c r="F13" s="60">
        <f>F11-F12</f>
        <v/>
      </c>
      <c r="G13" s="60">
        <f>G11-G12</f>
        <v/>
      </c>
      <c r="H13" s="60">
        <f>H11-H12</f>
        <v/>
      </c>
      <c r="I13" s="60">
        <f>I11-I12</f>
        <v/>
      </c>
      <c r="J13" s="60">
        <f>J11-J12</f>
        <v/>
      </c>
      <c r="K13" s="60">
        <f>K11-K12</f>
        <v/>
      </c>
      <c r="L13" s="60">
        <f>L11-L12</f>
        <v/>
      </c>
      <c r="M13" s="60">
        <f>M11-M12</f>
        <v/>
      </c>
    </row>
    <row r="14">
      <c r="A14" s="36" t="inlineStr">
        <is>
          <t>EBIT margin</t>
        </is>
      </c>
      <c r="B14" s="35" t="n"/>
      <c r="C14" s="52" t="inlineStr">
        <is>
          <t>EBIT ÷ revenue</t>
        </is>
      </c>
      <c r="D14" s="53">
        <f>D13/D9</f>
        <v/>
      </c>
      <c r="E14" s="53">
        <f>E13/E9</f>
        <v/>
      </c>
      <c r="F14" s="53">
        <f>F13/F9</f>
        <v/>
      </c>
      <c r="G14" s="53">
        <f>G13/G9</f>
        <v/>
      </c>
      <c r="H14" s="53">
        <f>H13/H9</f>
        <v/>
      </c>
      <c r="I14" s="53">
        <f>I13/I9</f>
        <v/>
      </c>
      <c r="J14" s="53">
        <f>J13/J9</f>
        <v/>
      </c>
      <c r="K14" s="53">
        <f>K13/K9</f>
        <v/>
      </c>
      <c r="L14" s="53">
        <f>L13/L9</f>
        <v/>
      </c>
      <c r="M14" s="53">
        <f>M13/M9</f>
        <v/>
      </c>
    </row>
    <row r="15">
      <c r="A15" s="36" t="inlineStr">
        <is>
          <t>Tax rate</t>
        </is>
      </c>
      <c r="B15" s="35" t="n"/>
      <c r="C15" s="52" t="inlineStr">
        <is>
          <t>year 1 → long run over 4 years</t>
        </is>
      </c>
      <c r="D15" s="53">
        <f>IF(D$5&gt;=4,tax_lr,tax_y1+(tax_lr-tax_y1)*D$5/4)</f>
        <v/>
      </c>
      <c r="E15" s="53">
        <f>IF(E$5&gt;=4,tax_lr,tax_y1+(tax_lr-tax_y1)*E$5/4)</f>
        <v/>
      </c>
      <c r="F15" s="53">
        <f>IF(F$5&gt;=4,tax_lr,tax_y1+(tax_lr-tax_y1)*F$5/4)</f>
        <v/>
      </c>
      <c r="G15" s="53">
        <f>IF(G$5&gt;=4,tax_lr,tax_y1+(tax_lr-tax_y1)*G$5/4)</f>
        <v/>
      </c>
      <c r="H15" s="53">
        <f>IF(H$5&gt;=4,tax_lr,tax_y1+(tax_lr-tax_y1)*H$5/4)</f>
        <v/>
      </c>
      <c r="I15" s="53">
        <f>IF(I$5&gt;=4,tax_lr,tax_y1+(tax_lr-tax_y1)*I$5/4)</f>
        <v/>
      </c>
      <c r="J15" s="53">
        <f>IF(J$5&gt;=4,tax_lr,tax_y1+(tax_lr-tax_y1)*J$5/4)</f>
        <v/>
      </c>
      <c r="K15" s="53">
        <f>IF(K$5&gt;=4,tax_lr,tax_y1+(tax_lr-tax_y1)*K$5/4)</f>
        <v/>
      </c>
      <c r="L15" s="53">
        <f>IF(L$5&gt;=4,tax_lr,tax_y1+(tax_lr-tax_y1)*L$5/4)</f>
        <v/>
      </c>
      <c r="M15" s="53">
        <f>IF(M$5&gt;=4,tax_lr,tax_y1+(tax_lr-tax_y1)*M$5/4)</f>
        <v/>
      </c>
    </row>
    <row r="16">
      <c r="A16" s="36" t="inlineStr">
        <is>
          <t>NOPAT</t>
        </is>
      </c>
      <c r="B16" s="35" t="n"/>
      <c r="C16" s="52" t="inlineStr">
        <is>
          <t>EBIT × (1 − tax)</t>
        </is>
      </c>
      <c r="D16" s="42">
        <f>D13*(1-D15)</f>
        <v/>
      </c>
      <c r="E16" s="42">
        <f>E13*(1-E15)</f>
        <v/>
      </c>
      <c r="F16" s="42">
        <f>F13*(1-F15)</f>
        <v/>
      </c>
      <c r="G16" s="42">
        <f>G13*(1-G15)</f>
        <v/>
      </c>
      <c r="H16" s="42">
        <f>H13*(1-H15)</f>
        <v/>
      </c>
      <c r="I16" s="42">
        <f>I13*(1-I15)</f>
        <v/>
      </c>
      <c r="J16" s="42">
        <f>J13*(1-J15)</f>
        <v/>
      </c>
      <c r="K16" s="42">
        <f>K13*(1-K15)</f>
        <v/>
      </c>
      <c r="L16" s="42">
        <f>L13*(1-L15)</f>
        <v/>
      </c>
      <c r="M16" s="42">
        <f>M13*(1-M15)</f>
        <v/>
      </c>
    </row>
    <row r="17">
      <c r="A17" s="36" t="inlineStr">
        <is>
          <t>+ D&amp;A</t>
        </is>
      </c>
      <c r="B17" s="35" t="n"/>
      <c r="C17" s="52" t="inlineStr">
        <is>
          <t>D&amp;A % × revenue</t>
        </is>
      </c>
      <c r="D17" s="42">
        <f>da_pct*D9</f>
        <v/>
      </c>
      <c r="E17" s="42">
        <f>da_pct*E9</f>
        <v/>
      </c>
      <c r="F17" s="42">
        <f>da_pct*F9</f>
        <v/>
      </c>
      <c r="G17" s="42">
        <f>da_pct*G9</f>
        <v/>
      </c>
      <c r="H17" s="42">
        <f>da_pct*H9</f>
        <v/>
      </c>
      <c r="I17" s="42">
        <f>da_pct*I9</f>
        <v/>
      </c>
      <c r="J17" s="42">
        <f>da_pct*J9</f>
        <v/>
      </c>
      <c r="K17" s="42">
        <f>da_pct*K9</f>
        <v/>
      </c>
      <c r="L17" s="42">
        <f>da_pct*L9</f>
        <v/>
      </c>
      <c r="M17" s="42">
        <f>da_pct*M9</f>
        <v/>
      </c>
    </row>
    <row r="18">
      <c r="A18" s="36" t="inlineStr">
        <is>
          <t>− Capex</t>
        </is>
      </c>
      <c r="B18" s="35" t="n"/>
      <c r="C18" s="52" t="inlineStr">
        <is>
          <t>capex % × revenue</t>
        </is>
      </c>
      <c r="D18" s="42">
        <f>capex_pct*D9</f>
        <v/>
      </c>
      <c r="E18" s="42">
        <f>capex_pct*E9</f>
        <v/>
      </c>
      <c r="F18" s="42">
        <f>capex_pct*F9</f>
        <v/>
      </c>
      <c r="G18" s="42">
        <f>capex_pct*G9</f>
        <v/>
      </c>
      <c r="H18" s="42">
        <f>capex_pct*H9</f>
        <v/>
      </c>
      <c r="I18" s="42">
        <f>capex_pct*I9</f>
        <v/>
      </c>
      <c r="J18" s="42">
        <f>capex_pct*J9</f>
        <v/>
      </c>
      <c r="K18" s="42">
        <f>capex_pct*K9</f>
        <v/>
      </c>
      <c r="L18" s="42">
        <f>capex_pct*L9</f>
        <v/>
      </c>
      <c r="M18" s="42">
        <f>capex_pct*M9</f>
        <v/>
      </c>
    </row>
    <row r="19">
      <c r="A19" s="36" t="inlineStr">
        <is>
          <t>− Change in working capital</t>
        </is>
      </c>
      <c r="B19" s="35" t="n"/>
      <c r="C19" s="52" t="inlineStr">
        <is>
          <t>yr 1: NWC % × revenue − opening NWC; then NWC % × Δrevenue</t>
        </is>
      </c>
      <c r="D19" s="42">
        <f>nwc_pct*D9-nwc_open</f>
        <v/>
      </c>
      <c r="E19" s="42">
        <f>nwc_pct*(E9-D9)</f>
        <v/>
      </c>
      <c r="F19" s="42">
        <f>nwc_pct*(F9-E9)</f>
        <v/>
      </c>
      <c r="G19" s="42">
        <f>nwc_pct*(G9-F9)</f>
        <v/>
      </c>
      <c r="H19" s="42">
        <f>nwc_pct*(H9-G9)</f>
        <v/>
      </c>
      <c r="I19" s="42">
        <f>nwc_pct*(I9-H9)</f>
        <v/>
      </c>
      <c r="J19" s="42">
        <f>nwc_pct*(J9-I9)</f>
        <v/>
      </c>
      <c r="K19" s="42">
        <f>nwc_pct*(K9-J9)</f>
        <v/>
      </c>
      <c r="L19" s="42">
        <f>nwc_pct*(L9-K9)</f>
        <v/>
      </c>
      <c r="M19" s="42">
        <f>nwc_pct*(M9-L9)</f>
        <v/>
      </c>
    </row>
    <row r="20">
      <c r="A20" s="34" t="inlineStr">
        <is>
          <t>Unlevered free cash flow (FCFF)</t>
        </is>
      </c>
      <c r="B20" s="42">
        <f>SUM(D20:M20)</f>
        <v/>
      </c>
      <c r="C20" s="52" t="inlineStr">
        <is>
          <t>NOPAT + D&amp;A − capex − ΔNWC</t>
        </is>
      </c>
      <c r="D20" s="60">
        <f>D16+D17-D18-D19</f>
        <v/>
      </c>
      <c r="E20" s="60">
        <f>E16+E17-E18-E19</f>
        <v/>
      </c>
      <c r="F20" s="60">
        <f>F16+F17-F18-F19</f>
        <v/>
      </c>
      <c r="G20" s="60">
        <f>G16+G17-G18-G19</f>
        <v/>
      </c>
      <c r="H20" s="60">
        <f>H16+H17-H18-H19</f>
        <v/>
      </c>
      <c r="I20" s="60">
        <f>I16+I17-I18-I19</f>
        <v/>
      </c>
      <c r="J20" s="60">
        <f>J16+J17-J18-J19</f>
        <v/>
      </c>
      <c r="K20" s="60">
        <f>K16+K17-K18-K19</f>
        <v/>
      </c>
      <c r="L20" s="60">
        <f>L16+L17-L18-L19</f>
        <v/>
      </c>
      <c r="M20" s="60">
        <f>M16+M17-M18-M19</f>
        <v/>
      </c>
    </row>
    <row r="21">
      <c r="A21" s="36" t="inlineStr">
        <is>
          <t>EBITDA</t>
        </is>
      </c>
      <c r="B21" s="35" t="n"/>
      <c r="C21" s="52" t="inlineStr">
        <is>
          <t>EBIT + D&amp;A</t>
        </is>
      </c>
      <c r="D21" s="42">
        <f>D13+D17</f>
        <v/>
      </c>
      <c r="E21" s="42">
        <f>E13+E17</f>
        <v/>
      </c>
      <c r="F21" s="42">
        <f>F13+F17</f>
        <v/>
      </c>
      <c r="G21" s="42">
        <f>G13+G17</f>
        <v/>
      </c>
      <c r="H21" s="42">
        <f>H13+H17</f>
        <v/>
      </c>
      <c r="I21" s="42">
        <f>I13+I17</f>
        <v/>
      </c>
      <c r="J21" s="42">
        <f>J13+J17</f>
        <v/>
      </c>
      <c r="K21" s="42">
        <f>K13+K17</f>
        <v/>
      </c>
      <c r="L21" s="42">
        <f>L13+L17</f>
        <v/>
      </c>
      <c r="M21" s="42">
        <f>M13+M17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E6DB4"/>
    <outlinePr summaryBelow="1" summaryRight="1"/>
    <pageSetUpPr fitToPage="1"/>
  </sheetPr>
  <dimension ref="A1:L24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25" t="inlineStr">
        <is>
          <t>Step 3 · Discount rate</t>
        </is>
      </c>
      <c r="B1" s="26" t="n"/>
      <c r="C1" s="49">
        <f>"Scenario: "&amp;scen_name&amp;"  ·  switch on Dashboard"</f>
        <v/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7" t="inlineStr">
        <is>
          <t>Cost of equity from CAPM with a beta regressed on daily returns; then debt and WACC.</t>
        </is>
      </c>
      <c r="B2" s="28" t="n"/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</row>
    <row r="3">
      <c r="A3" s="30" t="n"/>
      <c r="B3" s="30" t="n"/>
      <c r="C3" s="30" t="n"/>
    </row>
    <row r="4">
      <c r="A4" s="31" t="inlineStr">
        <is>
          <t>Item</t>
        </is>
      </c>
      <c r="B4" s="32" t="inlineStr">
        <is>
          <t>Value</t>
        </is>
      </c>
      <c r="C4" s="32" t="inlineStr">
        <is>
          <t>How it is calculated</t>
        </is>
      </c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>
      <c r="A5" s="34" t="inlineStr">
        <is>
          <t>Cost of equity</t>
        </is>
      </c>
      <c r="B5" s="35" t="n"/>
      <c r="C5" s="35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>
      <c r="A6" s="36" t="inlineStr">
        <is>
          <t>1 · Risk-free rate (10-year Treasury)</t>
        </is>
      </c>
      <c r="B6" s="45">
        <f>rf</f>
        <v/>
      </c>
      <c r="C6" s="52" t="inlineStr">
        <is>
          <t>Inputs</t>
        </is>
      </c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A7" s="36" t="inlineStr">
        <is>
          <t>2 · Expected market return (Rm)</t>
        </is>
      </c>
      <c r="B7" s="45">
        <f>rm</f>
        <v/>
      </c>
      <c r="C7" s="52" t="inlineStr">
        <is>
          <t>Inputs</t>
        </is>
      </c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A8" s="36" t="inlineStr">
        <is>
          <t>3 · Market risk premium = Rm − rf</t>
        </is>
      </c>
      <c r="B8" s="45">
        <f>rm-rf</f>
        <v/>
      </c>
      <c r="C8" s="52" t="inlineStr">
        <is>
          <t>Rm − rf</t>
        </is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A9" s="36" t="inlineStr">
        <is>
          <t>4a · Daily regression beta = SLOPE(stock returns, index returns)</t>
        </is>
      </c>
      <c r="B9" s="48">
        <f>SLOPE(beta_rs,beta_rm)</f>
        <v/>
      </c>
      <c r="C9" s="52" t="inlineStr">
        <is>
          <t>OLS slope on the Beta data sheet</t>
        </is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A10" s="36" t="inlineStr">
        <is>
          <t xml:space="preserve">     R² of the regression</t>
        </is>
      </c>
      <c r="B10" s="48">
        <f>RSQ(beta_rs,beta_rm)</f>
        <v/>
      </c>
      <c r="C10" s="52" t="inlineStr">
        <is>
          <t>share of the stock's daily moves explained by the market</t>
        </is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A11" s="36" t="inlineStr">
        <is>
          <t xml:space="preserve">     Standard error of beta</t>
        </is>
      </c>
      <c r="B11" s="48">
        <f>STEYX(beta_rs,beta_rm)/SQRT(DEVSQ(beta_rm))</f>
        <v/>
      </c>
      <c r="C11" s="52" t="inlineStr">
        <is>
          <t>s ÷ √Σ(x − x̄)²</t>
        </is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A12" s="36" t="inlineStr">
        <is>
          <t xml:space="preserve">     Number of daily returns</t>
        </is>
      </c>
      <c r="B12" s="48">
        <f>COUNT(beta_rs)</f>
        <v/>
      </c>
      <c r="C12" s="52" t="inlineStr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A13" s="36" t="inlineStr">
        <is>
          <t xml:space="preserve">     Daily beta carried forward</t>
        </is>
      </c>
      <c r="B13" s="48">
        <f>IF(ISNUMBER(beta_reg),beta_reg,beta_daily_in)</f>
        <v/>
      </c>
      <c r="C13" s="52" t="inlineStr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A14" s="34" t="inlineStr">
        <is>
          <t>4b · Beta used</t>
        </is>
      </c>
      <c r="B14" s="61">
        <f>IF(beta_src="raw",beta_raw,IF(beta_src="bottom_up",beta_bu,IF(beta_src="custom",beta_custom,IF(AND(beta_src="daily",ISNUMBER(beta_daily)),beta_daily,IF(AND(beta_src="daily_adj",ISNUMBER(beta_daily)),0.67*beta_daily+0.33,IF(AND(beta_src="crsp_monthly",ISNUMBER(beta_crsp)),beta_crsp,IF(AND(beta_src="crsp_monthly_adj",ISNUMBER(beta_crsp)),0.67*beta_crsp+0.33,0.67*beta_raw+0.33)))))))</f>
        <v/>
      </c>
      <c r="C14" s="52" t="inlineStr">
        <is>
          <t>source chosen on Inputs; _adj = Blume 0.67 × β + 0.33</t>
        </is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>
      <c r="A15" s="36" t="inlineStr">
        <is>
          <t>5 · Equity risk premium for this stock = β × MRP</t>
        </is>
      </c>
      <c r="B15" s="45">
        <f>beta_used*mrp</f>
        <v/>
      </c>
      <c r="C15" s="52" t="inlineStr">
        <is>
          <t>beta × (Rm − rf)</t>
        </is>
      </c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A16" s="34" t="inlineStr">
        <is>
          <t>6 · Cost of equity Ke = rf + β × MRP + CRP + size</t>
        </is>
      </c>
      <c r="B16" s="62">
        <f>rf+eq_prem+crp+size_prem</f>
        <v/>
      </c>
      <c r="C16" s="52" t="inlineStr">
        <is>
          <t>the discount rate for equity holders</t>
        </is>
      </c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A17" s="34" t="inlineStr">
        <is>
          <t>Cost of debt and WACC</t>
        </is>
      </c>
      <c r="B17" s="35" t="n"/>
      <c r="C17" s="35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A18" s="36" t="inlineStr">
        <is>
          <t>After-tax cost of debt = Kd × (1 − t)</t>
        </is>
      </c>
      <c r="B18" s="45">
        <f>kd*(1-t_marg)</f>
        <v/>
      </c>
      <c r="C18" s="52" t="inlineStr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A19" s="36" t="inlineStr">
        <is>
          <t>Equity at market value, $m</t>
        </is>
      </c>
      <c r="B19" s="42">
        <f>px_now*(shares_basic+dilution)</f>
        <v/>
      </c>
      <c r="C19" s="52" t="inlineStr">
        <is>
          <t>price × diluted shares</t>
        </is>
      </c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>
      <c r="A20" s="36" t="inlineStr">
        <is>
          <t>Debt including leases, $m</t>
        </is>
      </c>
      <c r="B20" s="42">
        <f>core_debt+leases</f>
        <v/>
      </c>
      <c r="C20" s="52" t="inlineStr">
        <is>
          <t>book value</t>
        </is>
      </c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>
      <c r="A21" s="36" t="inlineStr">
        <is>
          <t>Weight of equity E ÷ (D + E)</t>
        </is>
      </c>
      <c r="B21" s="45">
        <f>e_val/(e_val+d_val)</f>
        <v/>
      </c>
      <c r="C21" s="52" t="inlineStr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>
      <c r="A22" s="36" t="inlineStr">
        <is>
          <t>Weight of debt D ÷ (D + E)</t>
        </is>
      </c>
      <c r="B22" s="45">
        <f>d_val/(e_val+d_val)</f>
        <v/>
      </c>
      <c r="C22" s="52" t="inlineStr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</row>
    <row r="23">
      <c r="A23" s="34" t="inlineStr">
        <is>
          <t>WACC = wE × Ke + wD × Kd(1 − t)</t>
        </is>
      </c>
      <c r="B23" s="62">
        <f>w_e*ke+w_d*kd_after</f>
        <v/>
      </c>
      <c r="C23" s="52" t="inlineStr">
        <is>
          <t>the discount rate for the whole firm</t>
        </is>
      </c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</row>
    <row r="24">
      <c r="A24" s="34" t="inlineStr">
        <is>
          <t>Discount rate used in step 4 (WACC)</t>
        </is>
      </c>
      <c r="B24" s="62">
        <f>wacc</f>
        <v/>
      </c>
      <c r="C24" s="35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E6DB4"/>
    <outlinePr summaryBelow="1" summaryRight="1"/>
    <pageSetUpPr fitToPage="1"/>
  </sheetPr>
  <dimension ref="A1:M20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25" t="inlineStr">
        <is>
          <t>Step 4 · Discount the cash flows</t>
        </is>
      </c>
      <c r="B1" s="26" t="n"/>
      <c r="C1" s="49">
        <f>"Scenario: "&amp;scen_name&amp;"  ·  switch on Dashboard"</f>
        <v/>
      </c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</row>
    <row r="2" ht="16" customHeight="1">
      <c r="A2" s="27" t="inlineStr">
        <is>
          <t>PV = cash flow × (1 + r)^−t, with r from step 3; then the terminal value.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</row>
    <row r="3">
      <c r="A3" s="30" t="n"/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</row>
    <row r="4">
      <c r="A4" s="31" t="inlineStr">
        <is>
          <t>Line</t>
        </is>
      </c>
      <c r="B4" s="32" t="inlineStr">
        <is>
          <t>Total</t>
        </is>
      </c>
      <c r="C4" s="32" t="inlineStr">
        <is>
          <t>How it is calculated</t>
        </is>
      </c>
      <c r="D4" s="32" t="inlineStr">
        <is>
          <t>FY27</t>
        </is>
      </c>
      <c r="E4" s="32" t="inlineStr">
        <is>
          <t>FY28</t>
        </is>
      </c>
      <c r="F4" s="32" t="inlineStr">
        <is>
          <t>FY29</t>
        </is>
      </c>
      <c r="G4" s="32" t="inlineStr">
        <is>
          <t>FY30</t>
        </is>
      </c>
      <c r="H4" s="32" t="inlineStr">
        <is>
          <t>FY31</t>
        </is>
      </c>
      <c r="I4" s="32" t="inlineStr">
        <is>
          <t>FY32</t>
        </is>
      </c>
      <c r="J4" s="32" t="inlineStr">
        <is>
          <t>FY33</t>
        </is>
      </c>
      <c r="K4" s="32" t="inlineStr">
        <is>
          <t>FY34</t>
        </is>
      </c>
      <c r="L4" s="32" t="inlineStr">
        <is>
          <t>FY35</t>
        </is>
      </c>
      <c r="M4" s="32" t="inlineStr">
        <is>
          <t>FY36</t>
        </is>
      </c>
    </row>
    <row r="5">
      <c r="A5" s="52" t="inlineStr">
        <is>
          <t>Year index i</t>
        </is>
      </c>
      <c r="B5" s="35" t="n"/>
      <c r="C5" s="35" t="n"/>
      <c r="D5" s="52" t="n">
        <v>0</v>
      </c>
      <c r="E5" s="52" t="n">
        <v>1</v>
      </c>
      <c r="F5" s="52" t="n">
        <v>2</v>
      </c>
      <c r="G5" s="52" t="n">
        <v>3</v>
      </c>
      <c r="H5" s="52" t="n">
        <v>4</v>
      </c>
      <c r="I5" s="52" t="n">
        <v>5</v>
      </c>
      <c r="J5" s="52" t="n">
        <v>6</v>
      </c>
      <c r="K5" s="52" t="n">
        <v>7</v>
      </c>
      <c r="L5" s="52" t="n">
        <v>8</v>
      </c>
      <c r="M5" s="52" t="n">
        <v>9</v>
      </c>
    </row>
    <row r="6">
      <c r="A6" s="36" t="inlineStr">
        <is>
          <t>FCFF (full year)</t>
        </is>
      </c>
      <c r="B6" s="35" t="n"/>
      <c r="C6" s="52" t="inlineStr">
        <is>
          <t>from step 2</t>
        </is>
      </c>
      <c r="D6" s="63">
        <f>'2 Cash flows'!D20</f>
        <v/>
      </c>
      <c r="E6" s="63">
        <f>'2 Cash flows'!E20</f>
        <v/>
      </c>
      <c r="F6" s="63">
        <f>'2 Cash flows'!F20</f>
        <v/>
      </c>
      <c r="G6" s="63">
        <f>'2 Cash flows'!G20</f>
        <v/>
      </c>
      <c r="H6" s="63">
        <f>'2 Cash flows'!H20</f>
        <v/>
      </c>
      <c r="I6" s="63">
        <f>'2 Cash flows'!I20</f>
        <v/>
      </c>
      <c r="J6" s="63">
        <f>'2 Cash flows'!J20</f>
        <v/>
      </c>
      <c r="K6" s="63">
        <f>'2 Cash flows'!K20</f>
        <v/>
      </c>
      <c r="L6" s="63">
        <f>'2 Cash flows'!L20</f>
        <v/>
      </c>
      <c r="M6" s="63">
        <f>'2 Cash flows'!M20</f>
        <v/>
      </c>
    </row>
    <row r="7">
      <c r="A7" s="36" t="inlineStr">
        <is>
          <t>Share of the year counted</t>
        </is>
      </c>
      <c r="B7" s="35" t="n"/>
      <c r="C7" s="52" t="inlineStr">
        <is>
          <t>year 1: only the part after the last balance sheet (the rest is in today's cash)</t>
        </is>
      </c>
      <c r="D7" s="53">
        <f>stub</f>
        <v/>
      </c>
      <c r="E7" s="53">
        <f>1</f>
        <v/>
      </c>
      <c r="F7" s="53">
        <f>1</f>
        <v/>
      </c>
      <c r="G7" s="53">
        <f>1</f>
        <v/>
      </c>
      <c r="H7" s="53">
        <f>1</f>
        <v/>
      </c>
      <c r="I7" s="53">
        <f>1</f>
        <v/>
      </c>
      <c r="J7" s="53">
        <f>1</f>
        <v/>
      </c>
      <c r="K7" s="53">
        <f>1</f>
        <v/>
      </c>
      <c r="L7" s="53">
        <f>1</f>
        <v/>
      </c>
      <c r="M7" s="53">
        <f>1</f>
        <v/>
      </c>
    </row>
    <row r="8">
      <c r="A8" s="36" t="inlineStr">
        <is>
          <t>FCFF counted</t>
        </is>
      </c>
      <c r="B8" s="35" t="n"/>
      <c r="C8" s="52" t="inlineStr">
        <is>
          <t>FCFF × share of year</t>
        </is>
      </c>
      <c r="D8" s="42">
        <f>D6*D7</f>
        <v/>
      </c>
      <c r="E8" s="42">
        <f>E6*E7</f>
        <v/>
      </c>
      <c r="F8" s="42">
        <f>F6*F7</f>
        <v/>
      </c>
      <c r="G8" s="42">
        <f>G6*G7</f>
        <v/>
      </c>
      <c r="H8" s="42">
        <f>H6*H7</f>
        <v/>
      </c>
      <c r="I8" s="42">
        <f>I6*I7</f>
        <v/>
      </c>
      <c r="J8" s="42">
        <f>J6*J7</f>
        <v/>
      </c>
      <c r="K8" s="42">
        <f>K6*K7</f>
        <v/>
      </c>
      <c r="L8" s="42">
        <f>L6*L7</f>
        <v/>
      </c>
      <c r="M8" s="42">
        <f>M6*M7</f>
        <v/>
      </c>
    </row>
    <row r="9">
      <c r="A9" s="36" t="inlineStr">
        <is>
          <t>Years from today (t)</t>
        </is>
      </c>
      <c r="B9" s="35" t="n"/>
      <c r="C9" s="52" t="inlineStr">
        <is>
          <t>first fiscal year end + i, less half a year's share if mid-year</t>
        </is>
      </c>
      <c r="D9" s="48">
        <f>MAX(IF(midyear=1,first_period+D$5-0.5*D7,first_period+D$5),0)</f>
        <v/>
      </c>
      <c r="E9" s="48">
        <f>MAX(IF(midyear=1,first_period+E$5-0.5*E7,first_period+E$5),0)</f>
        <v/>
      </c>
      <c r="F9" s="48">
        <f>MAX(IF(midyear=1,first_period+F$5-0.5*F7,first_period+F$5),0)</f>
        <v/>
      </c>
      <c r="G9" s="48">
        <f>MAX(IF(midyear=1,first_period+G$5-0.5*G7,first_period+G$5),0)</f>
        <v/>
      </c>
      <c r="H9" s="48">
        <f>MAX(IF(midyear=1,first_period+H$5-0.5*H7,first_period+H$5),0)</f>
        <v/>
      </c>
      <c r="I9" s="48">
        <f>MAX(IF(midyear=1,first_period+I$5-0.5*I7,first_period+I$5),0)</f>
        <v/>
      </c>
      <c r="J9" s="48">
        <f>MAX(IF(midyear=1,first_period+J$5-0.5*J7,first_period+J$5),0)</f>
        <v/>
      </c>
      <c r="K9" s="48">
        <f>MAX(IF(midyear=1,first_period+K$5-0.5*K7,first_period+K$5),0)</f>
        <v/>
      </c>
      <c r="L9" s="48">
        <f>MAX(IF(midyear=1,first_period+L$5-0.5*L7,first_period+L$5),0)</f>
        <v/>
      </c>
      <c r="M9" s="48">
        <f>MAX(IF(midyear=1,first_period+M$5-0.5*M7,first_period+M$5),0)</f>
        <v/>
      </c>
    </row>
    <row r="10">
      <c r="A10" s="36" t="inlineStr">
        <is>
          <t>Discount factor</t>
        </is>
      </c>
      <c r="B10" s="35" t="n"/>
      <c r="C10" s="52" t="inlineStr">
        <is>
          <t>(1 + r)^−t</t>
        </is>
      </c>
      <c r="D10" s="64">
        <f>(1+disc_rate)^(-D9)</f>
        <v/>
      </c>
      <c r="E10" s="64">
        <f>(1+disc_rate)^(-E9)</f>
        <v/>
      </c>
      <c r="F10" s="64">
        <f>(1+disc_rate)^(-F9)</f>
        <v/>
      </c>
      <c r="G10" s="64">
        <f>(1+disc_rate)^(-G9)</f>
        <v/>
      </c>
      <c r="H10" s="64">
        <f>(1+disc_rate)^(-H9)</f>
        <v/>
      </c>
      <c r="I10" s="64">
        <f>(1+disc_rate)^(-I9)</f>
        <v/>
      </c>
      <c r="J10" s="64">
        <f>(1+disc_rate)^(-J9)</f>
        <v/>
      </c>
      <c r="K10" s="64">
        <f>(1+disc_rate)^(-K9)</f>
        <v/>
      </c>
      <c r="L10" s="64">
        <f>(1+disc_rate)^(-L9)</f>
        <v/>
      </c>
      <c r="M10" s="64">
        <f>(1+disc_rate)^(-M9)</f>
        <v/>
      </c>
    </row>
    <row r="11">
      <c r="A11" s="34" t="inlineStr">
        <is>
          <t>Present value</t>
        </is>
      </c>
      <c r="B11" s="60">
        <f>SUM(D11:M11)</f>
        <v/>
      </c>
      <c r="C11" s="52" t="inlineStr">
        <is>
          <t>counted × discount factor</t>
        </is>
      </c>
      <c r="D11" s="60">
        <f>D8*D10</f>
        <v/>
      </c>
      <c r="E11" s="60">
        <f>E8*E10</f>
        <v/>
      </c>
      <c r="F11" s="60">
        <f>F8*F10</f>
        <v/>
      </c>
      <c r="G11" s="60">
        <f>G8*G10</f>
        <v/>
      </c>
      <c r="H11" s="60">
        <f>H8*H10</f>
        <v/>
      </c>
      <c r="I11" s="60">
        <f>I8*I10</f>
        <v/>
      </c>
      <c r="J11" s="60">
        <f>J8*J10</f>
        <v/>
      </c>
      <c r="K11" s="60">
        <f>K8*K10</f>
        <v/>
      </c>
      <c r="L11" s="60">
        <f>L8*L10</f>
        <v/>
      </c>
      <c r="M11" s="60">
        <f>M8*M10</f>
        <v/>
      </c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</row>
    <row r="13">
      <c r="A13" s="36" t="inlineStr">
        <is>
          <t>Years to the last forecast year end</t>
        </is>
      </c>
      <c r="B13" s="65">
        <f>first_period+9</f>
        <v/>
      </c>
      <c r="C13" s="52" t="inlineStr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</row>
    <row r="14">
      <c r="A14" s="36" t="inlineStr">
        <is>
          <t>Terminal value, value driver = NOPAT × (1 + g) × (1 − g ÷ RONIC) ÷ (WACC − g)</t>
        </is>
      </c>
      <c r="B14" s="42">
        <f>cf_last_nopat*(1+g)*(1-g/ronic)/(disc_rate-g)</f>
        <v/>
      </c>
      <c r="C14" s="52" t="inlineStr">
        <is>
          <t>growth needs reinvestment: g ÷ RONIC of NOPAT is reinvested</t>
        </is>
      </c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</row>
    <row r="15">
      <c r="A15" s="36" t="inlineStr">
        <is>
          <t>PV of value-driver terminal value</t>
        </is>
      </c>
      <c r="B15" s="42">
        <f>tv_gordon*(1+disc_rate)^(-IF(midyear=1,t_n-0.5,t_n))</f>
        <v/>
      </c>
      <c r="C15" s="52" t="inlineStr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</row>
    <row r="16">
      <c r="A16" s="36" t="inlineStr">
        <is>
          <t>Terminal value, exit multiple × last EBITDA</t>
        </is>
      </c>
      <c r="B16" s="42">
        <f>exit_mult*cf_last_ebitda</f>
        <v/>
      </c>
      <c r="C16" s="52" t="inlineStr">
        <is>
          <t>cross-check</t>
        </is>
      </c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</row>
    <row r="17">
      <c r="A17" s="36" t="inlineStr">
        <is>
          <t>PV of exit terminal value</t>
        </is>
      </c>
      <c r="B17" s="42">
        <f>tv_exit*(1+disc_rate)^(-t_n)</f>
        <v/>
      </c>
      <c r="C17" s="52" t="inlineStr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</row>
    <row r="18">
      <c r="A18" s="34" t="inlineStr">
        <is>
          <t>PV of the terminal value used</t>
        </is>
      </c>
      <c r="B18" s="42">
        <f>IF(tv_method="exit",pv_exit,pv_gordon)</f>
        <v/>
      </c>
      <c r="C18" s="52" t="inlineStr">
        <is>
          <t>method on Inputs</t>
        </is>
      </c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</row>
    <row r="19">
      <c r="A19" s="34" t="inlineStr">
        <is>
          <t>Enterprise value = Σ PV + PV of terminal value</t>
        </is>
      </c>
      <c r="B19" s="66">
        <f>pv_sum+pv_tv</f>
        <v/>
      </c>
      <c r="C19" s="52" t="inlineStr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</row>
    <row r="20">
      <c r="A20" s="36" t="inlineStr">
        <is>
          <t>Terminal value share of EV</t>
        </is>
      </c>
      <c r="B20" s="53">
        <f>pv_tv/ev</f>
        <v/>
      </c>
      <c r="C20" s="52" t="inlineStr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E6DB4"/>
    <outlinePr summaryBelow="1" summaryRight="1"/>
    <pageSetUpPr fitToPage="1"/>
  </sheetPr>
  <dimension ref="A1:L18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25" t="inlineStr">
        <is>
          <t>Step 5 · From value to the share price</t>
        </is>
      </c>
      <c r="B1" s="26" t="n"/>
      <c r="C1" s="49">
        <f>"Scenario: "&amp;scen_name&amp;"  ·  switch on Dashboard"</f>
        <v/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7" t="inlineStr">
        <is>
          <t>Enterprise value − debt + cash (and other claims) = equity value, the estimated market cap; ÷ diluted shares = fair price.</t>
        </is>
      </c>
      <c r="B2" s="28" t="n"/>
      <c r="C2" s="28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</row>
    <row r="3">
      <c r="A3" s="30" t="n"/>
      <c r="B3" s="30" t="n"/>
      <c r="C3" s="30" t="n"/>
    </row>
    <row r="4">
      <c r="A4" s="31" t="inlineStr">
        <is>
          <t>Item</t>
        </is>
      </c>
      <c r="B4" s="32" t="inlineStr">
        <is>
          <t>Value</t>
        </is>
      </c>
      <c r="C4" s="32" t="inlineStr">
        <is>
          <t>How it is calculated</t>
        </is>
      </c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>
      <c r="A5" s="36" t="inlineStr">
        <is>
          <t>Enterprise value (step 4)</t>
        </is>
      </c>
      <c r="B5" s="42">
        <f>ev</f>
        <v/>
      </c>
      <c r="C5" s="52" t="inlineStr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>
      <c r="A6" s="36" t="inlineStr">
        <is>
          <t>− Debt excluding leases</t>
        </is>
      </c>
      <c r="B6" s="42">
        <f>-core_debt</f>
        <v/>
      </c>
      <c r="C6" s="52" t="inlineStr">
        <is>
          <t>Inputs</t>
        </is>
      </c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A7" s="36" t="inlineStr">
        <is>
          <t>− Lease liabilities</t>
        </is>
      </c>
      <c r="B7" s="42">
        <f>-leases</f>
        <v/>
      </c>
      <c r="C7" s="52" t="inlineStr">
        <is>
          <t>Inputs</t>
        </is>
      </c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A8" s="36" t="inlineStr">
        <is>
          <t>+ Cash</t>
        </is>
      </c>
      <c r="B8" s="42">
        <f>cash</f>
        <v/>
      </c>
      <c r="C8" s="52" t="inlineStr">
        <is>
          <t>Inputs</t>
        </is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A9" s="36" t="inlineStr">
        <is>
          <t>+ Captive-finance net assets (receivables + equipment − its own debt)</t>
        </is>
      </c>
      <c r="B9" s="42">
        <f>dfs_rec+dfs_le-dfs_debt</f>
        <v/>
      </c>
      <c r="C9" s="52" t="inlineStr">
        <is>
          <t>financing arms are added at net book value</t>
        </is>
      </c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A10" s="36" t="inlineStr">
        <is>
          <t>+ Non-operating investments</t>
        </is>
      </c>
      <c r="B10" s="42">
        <f>investments</f>
        <v/>
      </c>
      <c r="C10" s="52" t="inlineStr">
        <is>
          <t>Inputs</t>
        </is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A11" s="36" t="inlineStr">
        <is>
          <t>− Non-controlling interests</t>
        </is>
      </c>
      <c r="B11" s="42">
        <f>-nci</f>
        <v/>
      </c>
      <c r="C11" s="52" t="inlineStr">
        <is>
          <t>Inputs</t>
        </is>
      </c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A12" s="34" t="inlineStr">
        <is>
          <t>Equity value (estimated market cap)</t>
        </is>
      </c>
      <c r="B12" s="66">
        <f>ev_x+x_debt+x_leases+x_cash+dfs_net+x_inv+x_nci</f>
        <v/>
      </c>
      <c r="C12" s="52" t="inlineStr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A13" s="36" t="inlineStr">
        <is>
          <t>Diluted shares (m) = shares outstanding + dilution</t>
        </is>
      </c>
      <c r="B13" s="39">
        <f>shares_basic+dilution</f>
        <v/>
      </c>
      <c r="C13" s="52" t="inlineStr">
        <is>
          <t>Inputs</t>
        </is>
      </c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A14" s="34" t="inlineStr">
        <is>
          <t>Fair share price (this scenario)</t>
        </is>
      </c>
      <c r="B14" s="67">
        <f>equity/dil_sh</f>
        <v/>
      </c>
      <c r="C14" s="52" t="inlineStr">
        <is>
          <t>equity value ÷ diluted shares</t>
        </is>
      </c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>
      <c r="A15" s="36" t="inlineStr">
        <is>
          <t>Share price today</t>
        </is>
      </c>
      <c r="B15" s="68">
        <f>px_now</f>
        <v/>
      </c>
      <c r="C15" s="52" t="inlineStr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A16" s="36" t="inlineStr">
        <is>
          <t>Upside / (downside)</t>
        </is>
      </c>
      <c r="B16" s="53">
        <f>model_ps/x_price-1</f>
        <v/>
      </c>
      <c r="C16" s="52" t="inlineStr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A17" s="36" t="inlineStr">
        <is>
          <t>Market cap today</t>
        </is>
      </c>
      <c r="B17" s="42">
        <f>px_now*dil_sh</f>
        <v/>
      </c>
      <c r="C17" s="52" t="inlineStr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A18" s="36" t="inlineStr">
        <is>
          <t>Estimated vs actual market cap</t>
        </is>
      </c>
      <c r="B18" s="53">
        <f>equity/mcap_now-1</f>
        <v/>
      </c>
      <c r="C18" s="52" t="inlineStr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7B4A"/>
    <outlinePr summaryBelow="1" summaryRight="1"/>
    <pageSetUpPr fitToPage="1"/>
  </sheetPr>
  <dimension ref="A1:L20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6" customWidth="1" min="2" max="2"/>
    <col width="13" customWidth="1" min="3" max="3"/>
    <col width="12" customWidth="1" min="4" max="4"/>
    <col width="12" customWidth="1" min="5" max="5"/>
    <col width="12" customWidth="1" min="6" max="6"/>
    <col width="8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25" t="inlineStr">
        <is>
          <t>Step 6 · Verdict</t>
        </is>
      </c>
      <c r="B1" s="26" t="n"/>
      <c r="C1" s="49">
        <f>"Scenario: "&amp;scen_name&amp;"  ·  switch on Dashboard"</f>
        <v/>
      </c>
      <c r="D1" s="26" t="n"/>
      <c r="E1" s="26" t="n"/>
      <c r="F1" s="26" t="n"/>
      <c r="G1" s="26" t="n"/>
      <c r="H1" s="1" t="n"/>
      <c r="I1" s="1" t="n"/>
      <c r="J1" s="1" t="n"/>
      <c r="K1" s="1" t="n"/>
      <c r="L1" s="1" t="n"/>
    </row>
    <row r="2" ht="16" customHeight="1">
      <c r="A2" s="27" t="inlineStr">
        <is>
          <t>Methods blended by weight; methods that give no value drop out. The call needs the blend to differ from the price by more than the band.</t>
        </is>
      </c>
      <c r="B2" s="28" t="n"/>
      <c r="C2" s="28" t="n"/>
      <c r="D2" s="28" t="n"/>
      <c r="E2" s="28" t="n"/>
      <c r="F2" s="28" t="n"/>
      <c r="G2" s="28" t="n"/>
      <c r="H2" s="29" t="n"/>
      <c r="I2" s="29" t="n"/>
      <c r="J2" s="29" t="n"/>
      <c r="K2" s="29" t="n"/>
      <c r="L2" s="29" t="n"/>
    </row>
    <row r="3">
      <c r="A3" s="30" t="n"/>
      <c r="B3" s="30" t="n"/>
      <c r="C3" s="30" t="n"/>
      <c r="D3" s="30" t="n"/>
      <c r="E3" s="30" t="n"/>
      <c r="F3" s="30" t="n"/>
      <c r="G3" s="30" t="n"/>
    </row>
    <row r="4">
      <c r="A4" s="31" t="inlineStr">
        <is>
          <t>Method</t>
        </is>
      </c>
      <c r="B4" s="32" t="inlineStr">
        <is>
          <t>Value / share</t>
        </is>
      </c>
      <c r="C4" s="32" t="inlineStr">
        <is>
          <t>Weight</t>
        </is>
      </c>
      <c r="D4" s="32" t="inlineStr">
        <is>
          <t>vs price</t>
        </is>
      </c>
      <c r="E4" s="32" t="inlineStr">
        <is>
          <t>Weight × value</t>
        </is>
      </c>
      <c r="F4" s="32" t="inlineStr">
        <is>
          <t>Weight counted</t>
        </is>
      </c>
      <c r="G4" s="32" t="inlineStr">
        <is>
          <t>How it is computed</t>
        </is>
      </c>
      <c r="H4" s="33" t="n"/>
      <c r="I4" s="33" t="n"/>
      <c r="J4" s="33" t="n"/>
      <c r="K4" s="33" t="n"/>
      <c r="L4" s="33" t="n"/>
    </row>
    <row r="5">
      <c r="A5" s="36" t="inlineStr">
        <is>
          <t>DCF (FCFF), this scenario</t>
        </is>
      </c>
      <c r="B5" s="69">
        <f>model_ps</f>
        <v/>
      </c>
      <c r="C5" s="70" t="n">
        <v>0.4</v>
      </c>
      <c r="D5" s="53">
        <f>IF(ISNUMBER(B5),B5/px_now-1,"")</f>
        <v/>
      </c>
      <c r="E5" s="68">
        <f>IF(ISNUMBER(B5),B5*C5,0)</f>
        <v/>
      </c>
      <c r="F5" s="57">
        <f>IF(ISNUMBER(B5),C5,0)</f>
        <v/>
      </c>
      <c r="G5" s="52" t="inlineStr">
        <is>
          <t>steps 2–5</t>
        </is>
      </c>
      <c r="H5" s="33" t="n"/>
      <c r="I5" s="33" t="n"/>
      <c r="J5" s="33" t="n"/>
      <c r="K5" s="33" t="n"/>
      <c r="L5" s="33" t="n"/>
    </row>
    <row r="6">
      <c r="A6" s="36" t="inlineStr">
        <is>
          <t>Monte Carlo median</t>
        </is>
      </c>
      <c r="B6" s="71" t="n">
        <v>1452.29958506537</v>
      </c>
      <c r="C6" s="70" t="n">
        <v>0.2</v>
      </c>
      <c r="D6" s="53">
        <f>IF(ISNUMBER(B6),B6/px_now-1,"")</f>
        <v/>
      </c>
      <c r="E6" s="68">
        <f>IF(ISNUMBER(B6),B6*C6,0)</f>
        <v/>
      </c>
      <c r="F6" s="57">
        <f>IF(ISNUMBER(B6),C6,0)</f>
        <v/>
      </c>
      <c r="G6" s="52" t="inlineStr">
        <is>
          <t>value from the Python engine: 5,000 model runs with random drivers, discount rate and g (not a formula)</t>
        </is>
      </c>
      <c r="H6" s="33" t="n"/>
      <c r="I6" s="33" t="n"/>
      <c r="J6" s="33" t="n"/>
      <c r="K6" s="33" t="n"/>
      <c r="L6" s="33" t="n"/>
    </row>
    <row r="7">
      <c r="A7" s="36" t="inlineStr">
        <is>
          <t>Comps blend</t>
        </is>
      </c>
      <c r="B7" s="69">
        <f>comps_ps</f>
        <v/>
      </c>
      <c r="C7" s="70" t="n">
        <v>0.3</v>
      </c>
      <c r="D7" s="53">
        <f>IF(ISNUMBER(B7),B7/px_now-1,"")</f>
        <v/>
      </c>
      <c r="E7" s="68">
        <f>IF(ISNUMBER(B7),B7*C7,0)</f>
        <v/>
      </c>
      <c r="F7" s="57">
        <f>IF(ISNUMBER(B7),C7,0)</f>
        <v/>
      </c>
      <c r="G7" s="52" t="inlineStr">
        <is>
          <t>Comps sheet</t>
        </is>
      </c>
      <c r="H7" s="33" t="n"/>
      <c r="I7" s="33" t="n"/>
      <c r="J7" s="33" t="n"/>
      <c r="K7" s="33" t="n"/>
      <c r="L7" s="33" t="n"/>
    </row>
    <row r="8">
      <c r="A8" s="36" t="inlineStr">
        <is>
          <t>Peer regression</t>
        </is>
      </c>
      <c r="B8" s="69">
        <f>reg_ps</f>
        <v/>
      </c>
      <c r="C8" s="70" t="n">
        <v>0.1</v>
      </c>
      <c r="D8" s="53">
        <f>IF(ISNUMBER(B8),B8/px_now-1,"")</f>
        <v/>
      </c>
      <c r="E8" s="68">
        <f>IF(ISNUMBER(B8),B8*C8,0)</f>
        <v/>
      </c>
      <c r="F8" s="57">
        <f>IF(ISNUMBER(B8),C8,0)</f>
        <v/>
      </c>
      <c r="G8" s="52" t="inlineStr">
        <is>
          <t>Comps sheet</t>
        </is>
      </c>
      <c r="H8" s="33" t="n"/>
      <c r="I8" s="33" t="n"/>
      <c r="J8" s="33" t="n"/>
      <c r="K8" s="33" t="n"/>
      <c r="L8" s="33" t="n"/>
    </row>
    <row r="9">
      <c r="A9" s="30" t="n"/>
      <c r="B9" s="30" t="n"/>
      <c r="C9" s="30" t="n"/>
      <c r="D9" s="30" t="n"/>
      <c r="E9" s="30" t="n"/>
      <c r="F9" s="30" t="n"/>
      <c r="G9" s="30" t="n"/>
    </row>
    <row r="10">
      <c r="A10" s="34" t="inlineStr">
        <is>
          <t>Blended fair value = Σ weight × value ÷ Σ weight counted</t>
        </is>
      </c>
      <c r="B10" s="67">
        <f>SUM(E5:E8)/SUM(F5:F8)</f>
        <v/>
      </c>
      <c r="C10" s="35" t="n"/>
      <c r="D10" s="35" t="n"/>
      <c r="E10" s="35" t="n"/>
      <c r="F10" s="35" t="n"/>
      <c r="G10" s="35" t="n"/>
      <c r="H10" s="33" t="n"/>
      <c r="I10" s="33" t="n"/>
      <c r="J10" s="33" t="n"/>
      <c r="K10" s="33" t="n"/>
      <c r="L10" s="33" t="n"/>
    </row>
    <row r="11">
      <c r="A11" s="36" t="inlineStr">
        <is>
          <t>Upside / (downside) vs price</t>
        </is>
      </c>
      <c r="B11" s="53">
        <f>fair/px_now-1</f>
        <v/>
      </c>
      <c r="C11" s="35" t="n"/>
      <c r="D11" s="35" t="n"/>
      <c r="E11" s="35" t="n"/>
      <c r="F11" s="35" t="n"/>
      <c r="G11" s="35" t="n"/>
      <c r="H11" s="33" t="n"/>
      <c r="I11" s="33" t="n"/>
      <c r="J11" s="33" t="n"/>
      <c r="K11" s="33" t="n"/>
      <c r="L11" s="33" t="n"/>
    </row>
    <row r="12">
      <c r="A12" s="36" t="inlineStr">
        <is>
          <t>Earnings-quality grade (step 1)</t>
        </is>
      </c>
      <c r="B12" s="36">
        <f>eq_grade</f>
        <v/>
      </c>
      <c r="C12" s="35" t="n"/>
      <c r="D12" s="35" t="n"/>
      <c r="E12" s="35" t="n"/>
      <c r="F12" s="35" t="n"/>
      <c r="G12" s="35" t="n"/>
      <c r="H12" s="33" t="n"/>
      <c r="I12" s="33" t="n"/>
      <c r="J12" s="33" t="n"/>
      <c r="K12" s="33" t="n"/>
      <c r="L12" s="33" t="n"/>
    </row>
    <row r="13">
      <c r="A13" s="36" t="inlineStr">
        <is>
          <t>Call before the quality gate</t>
        </is>
      </c>
      <c r="B13" s="36">
        <f>IF(upside&gt;band,"UNDERVALUED",IF(upside&lt;-band,"OVERVALUED","FAIRLY VALUED"))</f>
        <v/>
      </c>
      <c r="C13" s="35" t="n"/>
      <c r="D13" s="35" t="n"/>
      <c r="E13" s="35" t="n"/>
      <c r="F13" s="35" t="n"/>
      <c r="G13" s="35" t="n"/>
      <c r="H13" s="33" t="n"/>
      <c r="I13" s="33" t="n"/>
      <c r="J13" s="33" t="n"/>
      <c r="K13" s="33" t="n"/>
      <c r="L13" s="33" t="n"/>
    </row>
    <row r="14">
      <c r="A14" s="34" t="inlineStr">
        <is>
          <t>Call</t>
        </is>
      </c>
      <c r="B14" s="59">
        <f>IF(AND(eq_gate=1,eq_grade_x="D"),"NO CALL",raw_call)</f>
        <v/>
      </c>
      <c r="C14" s="35" t="n"/>
      <c r="D14" s="35" t="n"/>
      <c r="E14" s="35" t="n"/>
      <c r="F14" s="35" t="n"/>
      <c r="G14" s="35" t="n"/>
      <c r="H14" s="33" t="n"/>
      <c r="I14" s="33" t="n"/>
      <c r="J14" s="33" t="n"/>
      <c r="K14" s="33" t="n"/>
      <c r="L14" s="33" t="n"/>
    </row>
    <row r="15">
      <c r="A15" s="36" t="inlineStr">
        <is>
          <t>Confidence</t>
        </is>
      </c>
      <c r="B15" s="36">
        <f>IF(AND(eq_gate=1,eq_grade_x="C"),"low","normal")</f>
        <v/>
      </c>
      <c r="C15" s="35" t="n"/>
      <c r="D15" s="35" t="n"/>
      <c r="E15" s="35" t="n"/>
      <c r="F15" s="35" t="n"/>
      <c r="G15" s="35" t="n"/>
      <c r="H15" s="33" t="n"/>
      <c r="I15" s="33" t="n"/>
      <c r="J15" s="33" t="n"/>
      <c r="K15" s="33" t="n"/>
      <c r="L15" s="33" t="n"/>
    </row>
    <row r="16">
      <c r="A16" s="36" t="inlineStr">
        <is>
          <t>Expected 1-year return = (fair ÷ price)^(1 ÷ horizon) − 1 + dividend yield</t>
        </is>
      </c>
      <c r="B16" s="53">
        <f>(fair/px_now)^(1/horizon)-1+dps/px_now</f>
        <v/>
      </c>
      <c r="C16" s="35" t="n"/>
      <c r="D16" s="35" t="n"/>
      <c r="E16" s="35" t="n"/>
      <c r="F16" s="35" t="n"/>
      <c r="G16" s="35" t="n"/>
      <c r="H16" s="33" t="n"/>
      <c r="I16" s="33" t="n"/>
      <c r="J16" s="33" t="n"/>
      <c r="K16" s="33" t="n"/>
      <c r="L16" s="33" t="n"/>
    </row>
    <row r="17">
      <c r="A17" s="36" t="inlineStr">
        <is>
          <t>Required return (Ke, step 3)</t>
        </is>
      </c>
      <c r="B17" s="53">
        <f>ke</f>
        <v/>
      </c>
      <c r="C17" s="35" t="n"/>
      <c r="D17" s="35" t="n"/>
      <c r="E17" s="35" t="n"/>
      <c r="F17" s="35" t="n"/>
      <c r="G17" s="35" t="n"/>
      <c r="H17" s="33" t="n"/>
      <c r="I17" s="33" t="n"/>
      <c r="J17" s="33" t="n"/>
      <c r="K17" s="33" t="n"/>
      <c r="L17" s="33" t="n"/>
    </row>
    <row r="18">
      <c r="A18" s="34" t="inlineStr">
        <is>
          <t>Expected alpha = expected − required</t>
        </is>
      </c>
      <c r="B18" s="51">
        <f>exp_ret-req_ret</f>
        <v/>
      </c>
      <c r="C18" s="35" t="n"/>
      <c r="D18" s="35" t="n"/>
      <c r="E18" s="35" t="n"/>
      <c r="F18" s="35" t="n"/>
      <c r="G18" s="35" t="n"/>
      <c r="H18" s="33" t="n"/>
      <c r="I18" s="33" t="n"/>
      <c r="J18" s="33" t="n"/>
      <c r="K18" s="33" t="n"/>
      <c r="L18" s="33" t="n"/>
    </row>
    <row r="19">
      <c r="A19" s="30" t="n"/>
      <c r="B19" s="30" t="n"/>
      <c r="C19" s="30" t="n"/>
      <c r="D19" s="30" t="n"/>
      <c r="E19" s="30" t="n"/>
      <c r="F19" s="30" t="n"/>
      <c r="G19" s="30" t="n"/>
    </row>
    <row r="20">
      <c r="A20" s="52" t="inlineStr">
        <is>
          <t>Python engine at build (2026-10-20): fair 1315.1733, FAIRLY VALUED. Tests recalculate this workbook and require the same numbers.</t>
        </is>
      </c>
      <c r="B20" s="35" t="n"/>
      <c r="C20" s="35" t="n"/>
      <c r="D20" s="35" t="n"/>
      <c r="E20" s="35" t="n"/>
      <c r="F20" s="35" t="n"/>
      <c r="G20" s="35" t="n"/>
      <c r="H20" s="33" t="n"/>
      <c r="I20" s="33" t="n"/>
      <c r="J20" s="33" t="n"/>
      <c r="K20" s="33" t="n"/>
      <c r="L20" s="33" t="n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L3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25" t="inlineStr">
        <is>
          <t>Comps</t>
        </is>
      </c>
      <c r="B1" s="26" t="n"/>
      <c r="C1" s="49">
        <f>"Scenario: "&amp;scen_name&amp;"  ·  switch on Dashboard"</f>
        <v/>
      </c>
      <c r="D1" s="26" t="n"/>
      <c r="E1" s="26" t="n"/>
      <c r="F1" s="26" t="n"/>
      <c r="G1" s="26" t="n"/>
      <c r="H1" s="1" t="n"/>
      <c r="I1" s="1" t="n"/>
      <c r="J1" s="1" t="n"/>
      <c r="K1" s="1" t="n"/>
      <c r="L1" s="1" t="n"/>
    </row>
    <row r="2" ht="16" customHeight="1">
      <c r="A2" s="27" t="inlineStr">
        <is>
          <t>Peer multiples from the data feed (blue, editable). Non-positive multiples are left blank, so they drop out of the statistic.</t>
        </is>
      </c>
      <c r="B2" s="28" t="n"/>
      <c r="C2" s="28" t="n"/>
      <c r="D2" s="28" t="n"/>
      <c r="E2" s="28" t="n"/>
      <c r="F2" s="28" t="n"/>
      <c r="G2" s="28" t="n"/>
      <c r="H2" s="29" t="n"/>
      <c r="I2" s="29" t="n"/>
      <c r="J2" s="29" t="n"/>
      <c r="K2" s="29" t="n"/>
      <c r="L2" s="29" t="n"/>
    </row>
    <row r="3">
      <c r="A3" s="30" t="n"/>
      <c r="B3" s="30" t="n"/>
      <c r="C3" s="30" t="n"/>
      <c r="D3" s="30" t="n"/>
      <c r="E3" s="30" t="n"/>
      <c r="F3" s="30" t="n"/>
      <c r="G3" s="30" t="n"/>
    </row>
    <row r="4">
      <c r="A4" s="31" t="inlineStr">
        <is>
          <t>Peer</t>
        </is>
      </c>
      <c r="B4" s="32" t="inlineStr">
        <is>
          <t>Name</t>
        </is>
      </c>
      <c r="C4" s="32" t="inlineStr">
        <is>
          <t>Forward P/E</t>
        </is>
      </c>
      <c r="D4" s="35" t="n"/>
      <c r="E4" s="35" t="n"/>
      <c r="F4" s="35" t="n"/>
      <c r="G4" s="35" t="n"/>
      <c r="H4" s="33" t="n"/>
      <c r="I4" s="33" t="n"/>
      <c r="J4" s="33" t="n"/>
      <c r="K4" s="33" t="n"/>
      <c r="L4" s="33" t="n"/>
    </row>
    <row r="5">
      <c r="A5" s="36" t="inlineStr">
        <is>
          <t>000660.KS</t>
        </is>
      </c>
      <c r="B5" s="36" t="inlineStr">
        <is>
          <t>SK hynix Inc.</t>
        </is>
      </c>
      <c r="C5" s="72" t="n">
        <v>2.6145825</v>
      </c>
      <c r="D5" s="35" t="n"/>
      <c r="E5" s="35" t="n"/>
      <c r="F5" s="35" t="n"/>
      <c r="G5" s="35" t="n"/>
      <c r="H5" s="33" t="n"/>
      <c r="I5" s="33" t="n"/>
      <c r="J5" s="33" t="n"/>
      <c r="K5" s="33" t="n"/>
      <c r="L5" s="33" t="n"/>
    </row>
    <row r="6">
      <c r="A6" s="36" t="inlineStr">
        <is>
          <t>005930.KS</t>
        </is>
      </c>
      <c r="B6" s="36" t="inlineStr">
        <is>
          <t>Samsung Electronics Co., Ltd.</t>
        </is>
      </c>
      <c r="C6" s="72" t="n">
        <v>2.9177794</v>
      </c>
      <c r="D6" s="35" t="n"/>
      <c r="E6" s="35" t="n"/>
      <c r="F6" s="35" t="n"/>
      <c r="G6" s="35" t="n"/>
      <c r="H6" s="33" t="n"/>
      <c r="I6" s="33" t="n"/>
      <c r="J6" s="33" t="n"/>
      <c r="K6" s="33" t="n"/>
      <c r="L6" s="33" t="n"/>
    </row>
    <row r="7">
      <c r="A7" s="36" t="inlineStr">
        <is>
          <t>285A.T</t>
        </is>
      </c>
      <c r="B7" s="36" t="inlineStr">
        <is>
          <t>Kioxia Holdings Corporation</t>
        </is>
      </c>
      <c r="C7" s="72" t="n"/>
      <c r="D7" s="35" t="n"/>
      <c r="E7" s="35" t="n"/>
      <c r="F7" s="35" t="n"/>
      <c r="G7" s="35" t="n"/>
      <c r="H7" s="33" t="n"/>
      <c r="I7" s="33" t="n"/>
      <c r="J7" s="33" t="n"/>
      <c r="K7" s="33" t="n"/>
      <c r="L7" s="33" t="n"/>
    </row>
    <row r="8">
      <c r="A8" s="36" t="inlineStr">
        <is>
          <t>MU</t>
        </is>
      </c>
      <c r="B8" s="36" t="inlineStr">
        <is>
          <t>Micron Technology, Inc.</t>
        </is>
      </c>
      <c r="C8" s="72" t="n">
        <v>4.3310623</v>
      </c>
      <c r="D8" s="35" t="n"/>
      <c r="E8" s="35" t="n"/>
      <c r="F8" s="35" t="n"/>
      <c r="G8" s="35" t="n"/>
      <c r="H8" s="33" t="n"/>
      <c r="I8" s="33" t="n"/>
      <c r="J8" s="33" t="n"/>
      <c r="K8" s="33" t="n"/>
      <c r="L8" s="33" t="n"/>
    </row>
    <row r="9">
      <c r="A9" s="36" t="inlineStr">
        <is>
          <t>STX</t>
        </is>
      </c>
      <c r="B9" s="36" t="inlineStr">
        <is>
          <t>Seagate Technology Holdings plc</t>
        </is>
      </c>
      <c r="C9" s="72" t="n">
        <v>11.847629</v>
      </c>
      <c r="D9" s="35" t="n"/>
      <c r="E9" s="35" t="n"/>
      <c r="F9" s="35" t="n"/>
      <c r="G9" s="35" t="n"/>
      <c r="H9" s="33" t="n"/>
      <c r="I9" s="33" t="n"/>
      <c r="J9" s="33" t="n"/>
      <c r="K9" s="33" t="n"/>
      <c r="L9" s="33" t="n"/>
    </row>
    <row r="10">
      <c r="A10" s="36" t="inlineStr">
        <is>
          <t>WDC</t>
        </is>
      </c>
      <c r="B10" s="36" t="inlineStr">
        <is>
          <t>Western Digital Corporation</t>
        </is>
      </c>
      <c r="C10" s="72" t="n">
        <v>10.948699</v>
      </c>
      <c r="D10" s="35" t="n"/>
      <c r="E10" s="35" t="n"/>
      <c r="F10" s="35" t="n"/>
      <c r="G10" s="35" t="n"/>
      <c r="H10" s="33" t="n"/>
      <c r="I10" s="33" t="n"/>
      <c r="J10" s="33" t="n"/>
      <c r="K10" s="33" t="n"/>
      <c r="L10" s="33" t="n"/>
    </row>
    <row r="11">
      <c r="A11" s="30" t="n"/>
      <c r="B11" s="30" t="n"/>
      <c r="C11" s="30" t="n"/>
      <c r="D11" s="30" t="n"/>
      <c r="E11" s="30" t="n"/>
      <c r="F11" s="30" t="n"/>
      <c r="G11" s="30" t="n"/>
    </row>
    <row r="12">
      <c r="A12" s="34" t="inlineStr">
        <is>
          <t>Company metrics</t>
        </is>
      </c>
      <c r="B12" s="35" t="n"/>
      <c r="C12" s="35" t="n"/>
      <c r="D12" s="35" t="n"/>
      <c r="E12" s="35" t="n"/>
      <c r="F12" s="35" t="n"/>
      <c r="G12" s="35" t="n"/>
      <c r="H12" s="33" t="n"/>
      <c r="I12" s="33" t="n"/>
      <c r="J12" s="33" t="n"/>
      <c r="K12" s="33" t="n"/>
      <c r="L12" s="33" t="n"/>
    </row>
    <row r="13">
      <c r="A13" s="36" t="inlineStr">
        <is>
          <t>Forward EPS (consensus)</t>
        </is>
      </c>
      <c r="B13" s="35" t="n"/>
      <c r="C13" s="71" t="n">
        <v>266.2971</v>
      </c>
      <c r="D13" s="35" t="n"/>
      <c r="E13" s="35" t="n"/>
      <c r="F13" s="35" t="n"/>
      <c r="G13" s="35" t="n"/>
      <c r="H13" s="33" t="n"/>
      <c r="I13" s="33" t="n"/>
      <c r="J13" s="33" t="n"/>
      <c r="K13" s="33" t="n"/>
      <c r="L13" s="33" t="n"/>
    </row>
    <row r="14">
      <c r="A14" s="36" t="inlineStr">
        <is>
          <t>EBITDA, trailing 12 months ($m)</t>
        </is>
      </c>
      <c r="B14" s="35" t="n"/>
      <c r="C14" s="40" t="n">
        <v>12616.999936</v>
      </c>
      <c r="D14" s="35" t="n"/>
      <c r="E14" s="35" t="n"/>
      <c r="F14" s="35" t="n"/>
      <c r="G14" s="35" t="n"/>
      <c r="H14" s="33" t="n"/>
      <c r="I14" s="33" t="n"/>
      <c r="J14" s="33" t="n"/>
      <c r="K14" s="33" t="n"/>
      <c r="L14" s="33" t="n"/>
    </row>
    <row r="15">
      <c r="A15" s="36" t="inlineStr">
        <is>
          <t>Revenue, trailing 12 months ($m)</t>
        </is>
      </c>
      <c r="B15" s="35" t="n"/>
      <c r="C15" s="40" t="n">
        <v>20248.000512</v>
      </c>
      <c r="D15" s="35" t="n"/>
      <c r="E15" s="35" t="n"/>
      <c r="F15" s="35" t="n"/>
      <c r="G15" s="35" t="n"/>
      <c r="H15" s="33" t="n"/>
      <c r="I15" s="33" t="n"/>
      <c r="J15" s="33" t="n"/>
      <c r="K15" s="33" t="n"/>
      <c r="L15" s="33" t="n"/>
    </row>
    <row r="16">
      <c r="A16" s="36" t="inlineStr">
        <is>
          <t>Net debt on the vendor's basis: all debt + leases − cash ($m)</t>
        </is>
      </c>
      <c r="B16" s="35" t="n"/>
      <c r="C16" s="40" t="n">
        <v>-4408</v>
      </c>
      <c r="D16" s="35" t="n"/>
      <c r="E16" s="35" t="n"/>
      <c r="F16" s="35" t="n"/>
      <c r="G16" s="35" t="n"/>
      <c r="H16" s="33" t="n"/>
      <c r="I16" s="33" t="n"/>
      <c r="J16" s="33" t="n"/>
      <c r="K16" s="33" t="n"/>
      <c r="L16" s="33" t="n"/>
    </row>
    <row r="17">
      <c r="A17" s="36" t="inlineStr"/>
      <c r="B17" s="35" t="n"/>
      <c r="C17" s="35" t="n"/>
      <c r="D17" s="35" t="n"/>
      <c r="E17" s="35" t="n"/>
      <c r="F17" s="35" t="n"/>
      <c r="G17" s="35" t="n"/>
      <c r="H17" s="33" t="n"/>
      <c r="I17" s="33" t="n"/>
      <c r="J17" s="33" t="n"/>
      <c r="K17" s="33" t="n"/>
      <c r="L17" s="33" t="n"/>
    </row>
    <row r="18">
      <c r="A18" s="30" t="n"/>
      <c r="B18" s="30" t="n"/>
      <c r="C18" s="30" t="n"/>
      <c r="D18" s="30" t="n"/>
      <c r="E18" s="30" t="n"/>
      <c r="F18" s="30" t="n"/>
      <c r="G18" s="30" t="n"/>
    </row>
    <row r="19">
      <c r="A19" s="31" t="inlineStr">
        <is>
          <t>Multiple</t>
        </is>
      </c>
      <c r="B19" s="32" t="inlineStr"/>
      <c r="C19" s="32" t="inlineStr">
        <is>
          <t>Peer median</t>
        </is>
      </c>
      <c r="D19" s="32" t="inlineStr">
        <is>
          <t>Company today</t>
        </is>
      </c>
      <c r="E19" s="32" t="inlineStr">
        <is>
          <t>Implied price</t>
        </is>
      </c>
      <c r="F19" s="32" t="inlineStr">
        <is>
          <t>Weight</t>
        </is>
      </c>
      <c r="G19" s="32" t="inlineStr">
        <is>
          <t>Weight × price</t>
        </is>
      </c>
      <c r="H19" s="33" t="n"/>
      <c r="I19" s="33" t="n"/>
      <c r="J19" s="33" t="n"/>
      <c r="K19" s="33" t="n"/>
      <c r="L19" s="33" t="n"/>
    </row>
    <row r="20">
      <c r="A20" s="36" t="inlineStr">
        <is>
          <t>Forward P/E</t>
        </is>
      </c>
      <c r="B20" s="35" t="n"/>
      <c r="C20" s="73">
        <f>IFERROR(MEDIAN(C5:C10),NA())</f>
        <v/>
      </c>
      <c r="D20" s="73">
        <f>IFERROR(px_now/c_eps,NA())</f>
        <v/>
      </c>
      <c r="E20" s="68">
        <f>IFERROR(C20*c_eps,NA())</f>
        <v/>
      </c>
      <c r="F20" s="70" t="n">
        <v>1</v>
      </c>
      <c r="G20" s="68">
        <f>IF(ISNUMBER(E20),E20*F20,0)</f>
        <v/>
      </c>
      <c r="H20" s="33" t="n"/>
      <c r="I20" s="33" t="n"/>
      <c r="J20" s="33" t="n"/>
      <c r="K20" s="33" t="n"/>
      <c r="L20" s="33" t="n"/>
    </row>
    <row r="21">
      <c r="A21" s="34" t="inlineStr">
        <is>
          <t>Blended comps value = Σ weight × price ÷ Σ weight of the multiples that worked</t>
        </is>
      </c>
      <c r="B21" s="35" t="n"/>
      <c r="C21" s="35" t="n"/>
      <c r="D21" s="35" t="n"/>
      <c r="E21" s="67">
        <f>IF(SUMPRODUCT(--ISNUMBER(E20:E20),F20:F20)&gt;0,SUM(G20:G20)/SUMPRODUCT(--ISNUMBER(E20:E20),F20:F20),NA())</f>
        <v/>
      </c>
      <c r="F21" s="35" t="n"/>
      <c r="G21" s="35" t="n"/>
      <c r="H21" s="33" t="n"/>
      <c r="I21" s="33" t="n"/>
      <c r="J21" s="33" t="n"/>
      <c r="K21" s="33" t="n"/>
      <c r="L21" s="33" t="n"/>
    </row>
    <row r="22">
      <c r="A22" s="30" t="n"/>
      <c r="B22" s="30" t="n"/>
      <c r="C22" s="30" t="n"/>
      <c r="D22" s="30" t="n"/>
      <c r="E22" s="30" t="n"/>
      <c r="F22" s="30" t="n"/>
      <c r="G22" s="30" t="n"/>
    </row>
    <row r="23">
      <c r="A23" s="30" t="n"/>
      <c r="B23" s="30" t="n"/>
      <c r="C23" s="30" t="n"/>
      <c r="D23" s="30" t="n"/>
      <c r="E23" s="30" t="n"/>
      <c r="F23" s="30" t="n"/>
      <c r="G23" s="30" t="n"/>
    </row>
    <row r="24">
      <c r="A24" s="54" t="inlineStr">
        <is>
          <t>Peer regression: forward P/E on 3-year EPS growth</t>
        </is>
      </c>
      <c r="B24" s="35" t="n"/>
      <c r="C24" s="35" t="n"/>
      <c r="D24" s="35" t="n"/>
      <c r="E24" s="35" t="n"/>
      <c r="F24" s="35" t="n"/>
      <c r="G24" s="35" t="n"/>
      <c r="H24" s="33" t="n"/>
      <c r="I24" s="33" t="n"/>
      <c r="J24" s="33" t="n"/>
      <c r="K24" s="33" t="n"/>
      <c r="L24" s="33" t="n"/>
    </row>
    <row r="25">
      <c r="A25" s="31" t="inlineStr">
        <is>
          <t>Peer</t>
        </is>
      </c>
      <c r="B25" s="32" t="inlineStr"/>
      <c r="C25" s="32" t="inlineStr">
        <is>
          <t>x: EPS growth</t>
        </is>
      </c>
      <c r="D25" s="32" t="inlineStr">
        <is>
          <t>y: Fwd P/E</t>
        </is>
      </c>
      <c r="E25" s="35" t="n"/>
      <c r="F25" s="35" t="n"/>
      <c r="G25" s="35" t="n"/>
      <c r="H25" s="33" t="n"/>
      <c r="I25" s="33" t="n"/>
      <c r="J25" s="33" t="n"/>
      <c r="K25" s="33" t="n"/>
      <c r="L25" s="33" t="n"/>
    </row>
    <row r="26">
      <c r="A26" s="36" t="inlineStr">
        <is>
          <t>000660.KS</t>
        </is>
      </c>
      <c r="B26" s="35" t="n"/>
      <c r="C26" s="50" t="n">
        <v>0.3195</v>
      </c>
      <c r="D26" s="74" t="n">
        <v>2.6145825</v>
      </c>
      <c r="E26" s="35" t="n"/>
      <c r="F26" s="35" t="n"/>
      <c r="G26" s="35" t="n"/>
      <c r="H26" s="33" t="n"/>
      <c r="I26" s="33" t="n"/>
      <c r="J26" s="33" t="n"/>
      <c r="K26" s="33" t="n"/>
      <c r="L26" s="33" t="n"/>
    </row>
    <row r="27">
      <c r="A27" s="36" t="inlineStr">
        <is>
          <t>005930.KS</t>
        </is>
      </c>
      <c r="B27" s="35" t="n"/>
      <c r="C27" s="50" t="n">
        <v>0.5143</v>
      </c>
      <c r="D27" s="74" t="n">
        <v>2.9177794</v>
      </c>
      <c r="E27" s="35" t="n"/>
      <c r="F27" s="35" t="n"/>
      <c r="G27" s="35" t="n"/>
      <c r="H27" s="33" t="n"/>
      <c r="I27" s="33" t="n"/>
      <c r="J27" s="33" t="n"/>
      <c r="K27" s="33" t="n"/>
      <c r="L27" s="33" t="n"/>
    </row>
    <row r="28">
      <c r="A28" s="36" t="inlineStr">
        <is>
          <t>MU</t>
        </is>
      </c>
      <c r="B28" s="35" t="n"/>
      <c r="C28" s="50" t="n">
        <v>0.1719</v>
      </c>
      <c r="D28" s="74" t="n">
        <v>4.3310623</v>
      </c>
      <c r="E28" s="35" t="n"/>
      <c r="F28" s="35" t="n"/>
      <c r="G28" s="35" t="n"/>
      <c r="H28" s="33" t="n"/>
      <c r="I28" s="33" t="n"/>
      <c r="J28" s="33" t="n"/>
      <c r="K28" s="33" t="n"/>
      <c r="L28" s="33" t="n"/>
    </row>
    <row r="29">
      <c r="A29" s="36" t="inlineStr">
        <is>
          <t>STX</t>
        </is>
      </c>
      <c r="B29" s="35" t="n"/>
      <c r="C29" s="50" t="n">
        <v>0.57</v>
      </c>
      <c r="D29" s="74" t="n">
        <v>11.847629</v>
      </c>
      <c r="E29" s="35" t="n"/>
      <c r="F29" s="35" t="n"/>
      <c r="G29" s="35" t="n"/>
      <c r="H29" s="33" t="n"/>
      <c r="I29" s="33" t="n"/>
      <c r="J29" s="33" t="n"/>
      <c r="K29" s="33" t="n"/>
      <c r="L29" s="33" t="n"/>
    </row>
    <row r="30">
      <c r="A30" s="36" t="inlineStr">
        <is>
          <t>WDC</t>
        </is>
      </c>
      <c r="B30" s="35" t="n"/>
      <c r="C30" s="50" t="n">
        <v>0.616</v>
      </c>
      <c r="D30" s="74" t="n">
        <v>10.948699</v>
      </c>
      <c r="E30" s="35" t="n"/>
      <c r="F30" s="35" t="n"/>
      <c r="G30" s="35" t="n"/>
      <c r="H30" s="33" t="n"/>
      <c r="I30" s="33" t="n"/>
      <c r="J30" s="33" t="n"/>
      <c r="K30" s="33" t="n"/>
      <c r="L30" s="33" t="n"/>
    </row>
    <row r="31">
      <c r="A31" s="30" t="n"/>
      <c r="B31" s="30" t="n"/>
      <c r="C31" s="30" t="n"/>
      <c r="D31" s="30" t="n"/>
      <c r="E31" s="30" t="n"/>
      <c r="F31" s="30" t="n"/>
      <c r="G31" s="30" t="n"/>
    </row>
    <row r="32">
      <c r="A32" s="36" t="inlineStr">
        <is>
          <t>Slope b = SLOPE(y, x)</t>
        </is>
      </c>
      <c r="B32" s="35" t="n"/>
      <c r="C32" s="35" t="n"/>
      <c r="D32" s="35" t="n"/>
      <c r="E32" s="65">
        <f>SLOPE(D26:D30,C26:C30)</f>
        <v/>
      </c>
      <c r="F32" s="35" t="n"/>
      <c r="G32" s="35" t="n"/>
      <c r="H32" s="33" t="n"/>
      <c r="I32" s="33" t="n"/>
      <c r="J32" s="33" t="n"/>
      <c r="K32" s="33" t="n"/>
      <c r="L32" s="33" t="n"/>
    </row>
    <row r="33">
      <c r="A33" s="36" t="inlineStr">
        <is>
          <t>Intercept a = INTERCEPT(y, x)</t>
        </is>
      </c>
      <c r="B33" s="35" t="n"/>
      <c r="C33" s="35" t="n"/>
      <c r="D33" s="35" t="n"/>
      <c r="E33" s="65">
        <f>INTERCEPT(D26:D30,C26:C30)</f>
        <v/>
      </c>
      <c r="F33" s="35" t="n"/>
      <c r="G33" s="35" t="n"/>
      <c r="H33" s="33" t="n"/>
      <c r="I33" s="33" t="n"/>
      <c r="J33" s="33" t="n"/>
      <c r="K33" s="33" t="n"/>
      <c r="L33" s="33" t="n"/>
    </row>
    <row r="34">
      <c r="A34" s="36" t="inlineStr">
        <is>
          <t>R²</t>
        </is>
      </c>
      <c r="B34" s="35" t="n"/>
      <c r="C34" s="35" t="n"/>
      <c r="D34" s="35" t="n"/>
      <c r="E34" s="65">
        <f>RSQ(D26:D30,C26:C30)</f>
        <v/>
      </c>
      <c r="F34" s="35" t="n"/>
      <c r="G34" s="35" t="n"/>
      <c r="H34" s="33" t="n"/>
      <c r="I34" s="33" t="n"/>
      <c r="J34" s="33" t="n"/>
      <c r="K34" s="33" t="n"/>
      <c r="L34" s="33" t="n"/>
    </row>
    <row r="35">
      <c r="A35" s="36" t="inlineStr">
        <is>
          <t>Peers in the fit</t>
        </is>
      </c>
      <c r="B35" s="35" t="n"/>
      <c r="C35" s="35" t="n"/>
      <c r="D35" s="35" t="n"/>
      <c r="E35" s="58">
        <f>COUNT(C26:C30)</f>
        <v/>
      </c>
      <c r="F35" s="35" t="n"/>
      <c r="G35" s="35" t="n"/>
      <c r="H35" s="33" t="n"/>
      <c r="I35" s="33" t="n"/>
      <c r="J35" s="33" t="n"/>
      <c r="K35" s="33" t="n"/>
      <c r="L35" s="33" t="n"/>
    </row>
    <row r="36">
      <c r="A36" s="36" t="inlineStr">
        <is>
          <t>Company EPS growth used: consensus EPS growth (Inputs file)</t>
        </is>
      </c>
      <c r="B36" s="35" t="n"/>
      <c r="C36" s="35" t="n"/>
      <c r="D36" s="35" t="n"/>
      <c r="E36" s="50" t="n">
        <v>0.23959999</v>
      </c>
      <c r="F36" s="35" t="n"/>
      <c r="G36" s="35" t="n"/>
      <c r="H36" s="33" t="n"/>
      <c r="I36" s="33" t="n"/>
      <c r="J36" s="33" t="n"/>
      <c r="K36" s="33" t="n"/>
      <c r="L36" s="33" t="n"/>
    </row>
    <row r="37">
      <c r="A37" s="36" t="inlineStr">
        <is>
          <t>Fitted multiple = a + b × company growth</t>
        </is>
      </c>
      <c r="B37" s="35" t="n"/>
      <c r="C37" s="35" t="n"/>
      <c r="D37" s="35" t="n"/>
      <c r="E37" s="65">
        <f>reg_a+reg_b*c_growth</f>
        <v/>
      </c>
      <c r="F37" s="35" t="n"/>
      <c r="G37" s="35" t="n"/>
      <c r="H37" s="33" t="n"/>
      <c r="I37" s="33" t="n"/>
      <c r="J37" s="33" t="n"/>
      <c r="K37" s="33" t="n"/>
      <c r="L37" s="33" t="n"/>
    </row>
    <row r="38">
      <c r="A38" s="34" t="inlineStr">
        <is>
          <t>Regression value per share (blank if R² is below the minimum on Inputs)</t>
        </is>
      </c>
      <c r="B38" s="35" t="n"/>
      <c r="C38" s="35" t="n"/>
      <c r="D38" s="35" t="n"/>
      <c r="E38" s="67">
        <f>IF(AND(reg_n&gt;=3,reg_r2&gt;=reg_min),reg_mult*c_eps,"")</f>
        <v/>
      </c>
      <c r="F38" s="35" t="n"/>
      <c r="G38" s="35" t="n"/>
      <c r="H38" s="33" t="n"/>
      <c r="I38" s="33" t="n"/>
      <c r="J38" s="33" t="n"/>
      <c r="K38" s="33" t="n"/>
      <c r="L38" s="33" t="n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L4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25" t="inlineStr">
        <is>
          <t>Beta data</t>
        </is>
      </c>
      <c r="B1" s="26" t="n"/>
      <c r="C1" s="26" t="n"/>
      <c r="D1" s="26" t="n"/>
      <c r="E1" s="26" t="n"/>
      <c r="F1" s="26" t="n"/>
      <c r="G1" s="26" t="n"/>
      <c r="H1" s="1" t="n"/>
      <c r="I1" s="1" t="n"/>
      <c r="J1" s="1" t="n"/>
      <c r="K1" s="1" t="n"/>
      <c r="L1" s="1" t="n"/>
    </row>
    <row r="2" ht="16" customHeight="1">
      <c r="A2" s="27" t="inlineStr">
        <is>
          <t>Daily adjusted closes for SNDK and the S&amp;P 500; returns are formulas. Paste a longer or different window to change the beta.</t>
        </is>
      </c>
      <c r="B2" s="28" t="n"/>
      <c r="C2" s="28" t="n"/>
      <c r="D2" s="28" t="n"/>
      <c r="E2" s="28" t="n"/>
      <c r="F2" s="28" t="n"/>
      <c r="G2" s="75" t="inlineStr">
        <is>
          <t>2025-02-14 to 2026-10-20</t>
        </is>
      </c>
      <c r="H2" s="29" t="n"/>
      <c r="I2" s="29" t="n"/>
      <c r="J2" s="29" t="n"/>
      <c r="K2" s="29" t="n"/>
      <c r="L2" s="29" t="n"/>
    </row>
    <row r="3">
      <c r="A3" s="30" t="n"/>
      <c r="B3" s="30" t="n"/>
      <c r="C3" s="30" t="n"/>
      <c r="D3" s="30" t="n"/>
      <c r="E3" s="30" t="n"/>
      <c r="F3" s="30" t="n"/>
      <c r="G3" s="30" t="n"/>
    </row>
    <row r="4">
      <c r="A4" s="31" t="inlineStr">
        <is>
          <t>Date</t>
        </is>
      </c>
      <c r="B4" s="32" t="inlineStr">
        <is>
          <t>SNDK</t>
        </is>
      </c>
      <c r="C4" s="32" t="inlineStr">
        <is>
          <t>S&amp;P 500</t>
        </is>
      </c>
      <c r="D4" s="32" t="inlineStr">
        <is>
          <t>Stock return</t>
        </is>
      </c>
      <c r="E4" s="32" t="inlineStr">
        <is>
          <t>Index return</t>
        </is>
      </c>
      <c r="F4" s="35" t="n"/>
      <c r="G4" s="35" t="n"/>
      <c r="H4" s="33" t="n"/>
      <c r="I4" s="33" t="n"/>
      <c r="J4" s="33" t="n"/>
      <c r="K4" s="33" t="n"/>
      <c r="L4" s="33" t="n"/>
    </row>
    <row r="5">
      <c r="A5" s="36" t="inlineStr">
        <is>
          <t>2025-02-13</t>
        </is>
      </c>
      <c r="B5" s="76" t="n">
        <v>36</v>
      </c>
      <c r="C5" s="77" t="n">
        <v>6115.06982421875</v>
      </c>
      <c r="D5" s="35" t="n"/>
      <c r="E5" s="35" t="n"/>
      <c r="F5" s="35" t="n"/>
      <c r="G5" s="35" t="n"/>
      <c r="H5" s="33" t="n"/>
      <c r="I5" s="33" t="n"/>
      <c r="J5" s="33" t="n"/>
      <c r="K5" s="33" t="n"/>
      <c r="L5" s="33" t="n"/>
    </row>
    <row r="6">
      <c r="A6" s="36" t="inlineStr">
        <is>
          <t>2025-02-14</t>
        </is>
      </c>
      <c r="B6" s="76" t="n">
        <v>36.65000152587891</v>
      </c>
      <c r="C6" s="77" t="n">
        <v>6114.6298828125</v>
      </c>
      <c r="D6" s="45">
        <f>B6/B5-1</f>
        <v/>
      </c>
      <c r="E6" s="45">
        <f>C6/C5-1</f>
        <v/>
      </c>
      <c r="F6" s="35" t="n"/>
      <c r="G6" s="35" t="n"/>
      <c r="H6" s="33" t="n"/>
      <c r="I6" s="33" t="n"/>
      <c r="J6" s="33" t="n"/>
      <c r="K6" s="33" t="n"/>
      <c r="L6" s="33" t="n"/>
    </row>
    <row r="7">
      <c r="A7" s="36" t="inlineStr">
        <is>
          <t>2025-02-18</t>
        </is>
      </c>
      <c r="B7" s="76" t="n">
        <v>47.15000152587891</v>
      </c>
      <c r="C7" s="77" t="n">
        <v>6129.580078125</v>
      </c>
      <c r="D7" s="45">
        <f>B7/B6-1</f>
        <v/>
      </c>
      <c r="E7" s="45">
        <f>C7/C6-1</f>
        <v/>
      </c>
      <c r="F7" s="35" t="n"/>
      <c r="G7" s="35" t="n"/>
      <c r="H7" s="33" t="n"/>
      <c r="I7" s="33" t="n"/>
      <c r="J7" s="33" t="n"/>
      <c r="K7" s="33" t="n"/>
      <c r="L7" s="33" t="n"/>
    </row>
    <row r="8">
      <c r="A8" s="36" t="inlineStr">
        <is>
          <t>2025-02-19</t>
        </is>
      </c>
      <c r="B8" s="76" t="n">
        <v>46</v>
      </c>
      <c r="C8" s="77" t="n">
        <v>6144.14990234375</v>
      </c>
      <c r="D8" s="45">
        <f>B8/B7-1</f>
        <v/>
      </c>
      <c r="E8" s="45">
        <f>C8/C7-1</f>
        <v/>
      </c>
      <c r="F8" s="35" t="n"/>
      <c r="G8" s="35" t="n"/>
      <c r="H8" s="33" t="n"/>
      <c r="I8" s="33" t="n"/>
      <c r="J8" s="33" t="n"/>
      <c r="K8" s="33" t="n"/>
      <c r="L8" s="33" t="n"/>
    </row>
    <row r="9">
      <c r="A9" s="36" t="inlineStr">
        <is>
          <t>2025-02-20</t>
        </is>
      </c>
      <c r="B9" s="76" t="n">
        <v>48.2599983215332</v>
      </c>
      <c r="C9" s="77" t="n">
        <v>6117.52001953125</v>
      </c>
      <c r="D9" s="45">
        <f>B9/B8-1</f>
        <v/>
      </c>
      <c r="E9" s="45">
        <f>C9/C8-1</f>
        <v/>
      </c>
      <c r="F9" s="35" t="n"/>
      <c r="G9" s="35" t="n"/>
      <c r="H9" s="33" t="n"/>
      <c r="I9" s="33" t="n"/>
      <c r="J9" s="33" t="n"/>
      <c r="K9" s="33" t="n"/>
      <c r="L9" s="33" t="n"/>
    </row>
    <row r="10">
      <c r="A10" s="36" t="inlineStr">
        <is>
          <t>2025-02-21</t>
        </is>
      </c>
      <c r="B10" s="76" t="n">
        <v>50.36999893188477</v>
      </c>
      <c r="C10" s="77" t="n">
        <v>6013.1298828125</v>
      </c>
      <c r="D10" s="45">
        <f>B10/B9-1</f>
        <v/>
      </c>
      <c r="E10" s="45">
        <f>C10/C9-1</f>
        <v/>
      </c>
      <c r="F10" s="35" t="n"/>
      <c r="G10" s="35" t="n"/>
      <c r="H10" s="33" t="n"/>
      <c r="I10" s="33" t="n"/>
      <c r="J10" s="33" t="n"/>
      <c r="K10" s="33" t="n"/>
      <c r="L10" s="33" t="n"/>
    </row>
    <row r="11">
      <c r="A11" s="36" t="inlineStr">
        <is>
          <t>2025-02-24</t>
        </is>
      </c>
      <c r="B11" s="76" t="n">
        <v>48.59999847412109</v>
      </c>
      <c r="C11" s="77" t="n">
        <v>5983.25</v>
      </c>
      <c r="D11" s="45">
        <f>B11/B10-1</f>
        <v/>
      </c>
      <c r="E11" s="45">
        <f>C11/C10-1</f>
        <v/>
      </c>
      <c r="F11" s="35" t="n"/>
      <c r="G11" s="35" t="n"/>
      <c r="H11" s="33" t="n"/>
      <c r="I11" s="33" t="n"/>
      <c r="J11" s="33" t="n"/>
      <c r="K11" s="33" t="n"/>
      <c r="L11" s="33" t="n"/>
    </row>
    <row r="12">
      <c r="A12" s="36" t="inlineStr">
        <is>
          <t>2025-02-25</t>
        </is>
      </c>
      <c r="B12" s="76" t="n">
        <v>48.15999984741211</v>
      </c>
      <c r="C12" s="77" t="n">
        <v>5955.25</v>
      </c>
      <c r="D12" s="45">
        <f>B12/B11-1</f>
        <v/>
      </c>
      <c r="E12" s="45">
        <f>C12/C11-1</f>
        <v/>
      </c>
      <c r="F12" s="35" t="n"/>
      <c r="G12" s="35" t="n"/>
      <c r="H12" s="33" t="n"/>
      <c r="I12" s="33" t="n"/>
      <c r="J12" s="33" t="n"/>
      <c r="K12" s="33" t="n"/>
      <c r="L12" s="33" t="n"/>
    </row>
    <row r="13">
      <c r="A13" s="36" t="inlineStr">
        <is>
          <t>2025-02-26</t>
        </is>
      </c>
      <c r="B13" s="76" t="n">
        <v>46.58000183105469</v>
      </c>
      <c r="C13" s="77" t="n">
        <v>5956.06005859375</v>
      </c>
      <c r="D13" s="45">
        <f>B13/B12-1</f>
        <v/>
      </c>
      <c r="E13" s="45">
        <f>C13/C12-1</f>
        <v/>
      </c>
      <c r="F13" s="35" t="n"/>
      <c r="G13" s="35" t="n"/>
      <c r="H13" s="33" t="n"/>
      <c r="I13" s="33" t="n"/>
      <c r="J13" s="33" t="n"/>
      <c r="K13" s="33" t="n"/>
      <c r="L13" s="33" t="n"/>
    </row>
    <row r="14">
      <c r="A14" s="36" t="inlineStr">
        <is>
          <t>2025-02-27</t>
        </is>
      </c>
      <c r="B14" s="76" t="n">
        <v>45.15999984741211</v>
      </c>
      <c r="C14" s="77" t="n">
        <v>5861.56982421875</v>
      </c>
      <c r="D14" s="45">
        <f>B14/B13-1</f>
        <v/>
      </c>
      <c r="E14" s="45">
        <f>C14/C13-1</f>
        <v/>
      </c>
      <c r="F14" s="35" t="n"/>
      <c r="G14" s="35" t="n"/>
      <c r="H14" s="33" t="n"/>
      <c r="I14" s="33" t="n"/>
      <c r="J14" s="33" t="n"/>
      <c r="K14" s="33" t="n"/>
      <c r="L14" s="33" t="n"/>
    </row>
    <row r="15">
      <c r="A15" s="36" t="inlineStr">
        <is>
          <t>2025-02-28</t>
        </is>
      </c>
      <c r="B15" s="76" t="n">
        <v>46.84999847412109</v>
      </c>
      <c r="C15" s="77" t="n">
        <v>5954.5</v>
      </c>
      <c r="D15" s="45">
        <f>B15/B14-1</f>
        <v/>
      </c>
      <c r="E15" s="45">
        <f>C15/C14-1</f>
        <v/>
      </c>
      <c r="F15" s="35" t="n"/>
      <c r="G15" s="35" t="n"/>
      <c r="H15" s="33" t="n"/>
      <c r="I15" s="33" t="n"/>
      <c r="J15" s="33" t="n"/>
      <c r="K15" s="33" t="n"/>
      <c r="L15" s="33" t="n"/>
    </row>
    <row r="16">
      <c r="A16" s="36" t="inlineStr">
        <is>
          <t>2025-03-03</t>
        </is>
      </c>
      <c r="B16" s="76" t="n">
        <v>50.31000137329102</v>
      </c>
      <c r="C16" s="77" t="n">
        <v>5849.72021484375</v>
      </c>
      <c r="D16" s="45">
        <f>B16/B15-1</f>
        <v/>
      </c>
      <c r="E16" s="45">
        <f>C16/C15-1</f>
        <v/>
      </c>
      <c r="F16" s="35" t="n"/>
      <c r="G16" s="35" t="n"/>
      <c r="H16" s="33" t="n"/>
      <c r="I16" s="33" t="n"/>
      <c r="J16" s="33" t="n"/>
      <c r="K16" s="33" t="n"/>
      <c r="L16" s="33" t="n"/>
    </row>
    <row r="17">
      <c r="A17" s="36" t="inlineStr">
        <is>
          <t>2025-03-04</t>
        </is>
      </c>
      <c r="B17" s="76" t="n">
        <v>48.68999862670898</v>
      </c>
      <c r="C17" s="77" t="n">
        <v>5778.14990234375</v>
      </c>
      <c r="D17" s="45">
        <f>B17/B16-1</f>
        <v/>
      </c>
      <c r="E17" s="45">
        <f>C17/C16-1</f>
        <v/>
      </c>
      <c r="F17" s="35" t="n"/>
      <c r="G17" s="35" t="n"/>
      <c r="H17" s="33" t="n"/>
      <c r="I17" s="33" t="n"/>
      <c r="J17" s="33" t="n"/>
      <c r="K17" s="33" t="n"/>
      <c r="L17" s="33" t="n"/>
    </row>
    <row r="18">
      <c r="A18" s="36" t="inlineStr">
        <is>
          <t>2025-03-05</t>
        </is>
      </c>
      <c r="B18" s="76" t="n">
        <v>48.47000122070312</v>
      </c>
      <c r="C18" s="77" t="n">
        <v>5842.6298828125</v>
      </c>
      <c r="D18" s="45">
        <f>B18/B17-1</f>
        <v/>
      </c>
      <c r="E18" s="45">
        <f>C18/C17-1</f>
        <v/>
      </c>
      <c r="F18" s="35" t="n"/>
      <c r="G18" s="35" t="n"/>
      <c r="H18" s="33" t="n"/>
      <c r="I18" s="33" t="n"/>
      <c r="J18" s="33" t="n"/>
      <c r="K18" s="33" t="n"/>
      <c r="L18" s="33" t="n"/>
    </row>
    <row r="19">
      <c r="A19" s="36" t="inlineStr">
        <is>
          <t>2025-03-06</t>
        </is>
      </c>
      <c r="B19" s="76" t="n">
        <v>46.5</v>
      </c>
      <c r="C19" s="77" t="n">
        <v>5738.52001953125</v>
      </c>
      <c r="D19" s="45">
        <f>B19/B18-1</f>
        <v/>
      </c>
      <c r="E19" s="45">
        <f>C19/C18-1</f>
        <v/>
      </c>
      <c r="F19" s="35" t="n"/>
      <c r="G19" s="35" t="n"/>
      <c r="H19" s="33" t="n"/>
      <c r="I19" s="33" t="n"/>
      <c r="J19" s="33" t="n"/>
      <c r="K19" s="33" t="n"/>
      <c r="L19" s="33" t="n"/>
    </row>
    <row r="20">
      <c r="A20" s="36" t="inlineStr">
        <is>
          <t>2025-03-07</t>
        </is>
      </c>
      <c r="B20" s="76" t="n">
        <v>51</v>
      </c>
      <c r="C20" s="77" t="n">
        <v>5770.2001953125</v>
      </c>
      <c r="D20" s="45">
        <f>B20/B19-1</f>
        <v/>
      </c>
      <c r="E20" s="45">
        <f>C20/C19-1</f>
        <v/>
      </c>
      <c r="F20" s="35" t="n"/>
      <c r="G20" s="35" t="n"/>
      <c r="H20" s="33" t="n"/>
      <c r="I20" s="33" t="n"/>
      <c r="J20" s="33" t="n"/>
      <c r="K20" s="33" t="n"/>
      <c r="L20" s="33" t="n"/>
    </row>
    <row r="21">
      <c r="A21" s="36" t="inlineStr">
        <is>
          <t>2025-03-10</t>
        </is>
      </c>
      <c r="B21" s="76" t="n">
        <v>53</v>
      </c>
      <c r="C21" s="77" t="n">
        <v>5614.56005859375</v>
      </c>
      <c r="D21" s="45">
        <f>B21/B20-1</f>
        <v/>
      </c>
      <c r="E21" s="45">
        <f>C21/C20-1</f>
        <v/>
      </c>
      <c r="F21" s="35" t="n"/>
      <c r="G21" s="35" t="n"/>
      <c r="H21" s="33" t="n"/>
      <c r="I21" s="33" t="n"/>
      <c r="J21" s="33" t="n"/>
      <c r="K21" s="33" t="n"/>
      <c r="L21" s="33" t="n"/>
    </row>
    <row r="22">
      <c r="A22" s="36" t="inlineStr">
        <is>
          <t>2025-03-11</t>
        </is>
      </c>
      <c r="B22" s="76" t="n">
        <v>52.15999984741211</v>
      </c>
      <c r="C22" s="77" t="n">
        <v>5572.06982421875</v>
      </c>
      <c r="D22" s="45">
        <f>B22/B21-1</f>
        <v/>
      </c>
      <c r="E22" s="45">
        <f>C22/C21-1</f>
        <v/>
      </c>
      <c r="F22" s="35" t="n"/>
      <c r="G22" s="35" t="n"/>
      <c r="H22" s="33" t="n"/>
      <c r="I22" s="33" t="n"/>
      <c r="J22" s="33" t="n"/>
      <c r="K22" s="33" t="n"/>
      <c r="L22" s="33" t="n"/>
    </row>
    <row r="23">
      <c r="A23" s="36" t="inlineStr">
        <is>
          <t>2025-03-12</t>
        </is>
      </c>
      <c r="B23" s="76" t="n">
        <v>50.43999862670898</v>
      </c>
      <c r="C23" s="77" t="n">
        <v>5599.2998046875</v>
      </c>
      <c r="D23" s="45">
        <f>B23/B22-1</f>
        <v/>
      </c>
      <c r="E23" s="45">
        <f>C23/C22-1</f>
        <v/>
      </c>
      <c r="F23" s="35" t="n"/>
      <c r="G23" s="35" t="n"/>
      <c r="H23" s="33" t="n"/>
      <c r="I23" s="33" t="n"/>
      <c r="J23" s="33" t="n"/>
      <c r="K23" s="33" t="n"/>
      <c r="L23" s="33" t="n"/>
    </row>
    <row r="24">
      <c r="A24" s="36" t="inlineStr">
        <is>
          <t>2025-03-13</t>
        </is>
      </c>
      <c r="B24" s="76" t="n">
        <v>48.43999862670898</v>
      </c>
      <c r="C24" s="77" t="n">
        <v>5521.52001953125</v>
      </c>
      <c r="D24" s="45">
        <f>B24/B23-1</f>
        <v/>
      </c>
      <c r="E24" s="45">
        <f>C24/C23-1</f>
        <v/>
      </c>
      <c r="F24" s="35" t="n"/>
      <c r="G24" s="35" t="n"/>
      <c r="H24" s="33" t="n"/>
      <c r="I24" s="33" t="n"/>
      <c r="J24" s="33" t="n"/>
      <c r="K24" s="33" t="n"/>
      <c r="L24" s="33" t="n"/>
    </row>
    <row r="25">
      <c r="A25" s="36" t="inlineStr">
        <is>
          <t>2025-03-14</t>
        </is>
      </c>
      <c r="B25" s="76" t="n">
        <v>54.81999969482422</v>
      </c>
      <c r="C25" s="77" t="n">
        <v>5638.93994140625</v>
      </c>
      <c r="D25" s="45">
        <f>B25/B24-1</f>
        <v/>
      </c>
      <c r="E25" s="45">
        <f>C25/C24-1</f>
        <v/>
      </c>
      <c r="F25" s="35" t="n"/>
      <c r="G25" s="35" t="n"/>
      <c r="H25" s="33" t="n"/>
      <c r="I25" s="33" t="n"/>
      <c r="J25" s="33" t="n"/>
      <c r="K25" s="33" t="n"/>
      <c r="L25" s="33" t="n"/>
    </row>
    <row r="26">
      <c r="A26" s="36" t="inlineStr">
        <is>
          <t>2025-03-17</t>
        </is>
      </c>
      <c r="B26" s="76" t="n">
        <v>55.65000152587891</v>
      </c>
      <c r="C26" s="77" t="n">
        <v>5675.1201171875</v>
      </c>
      <c r="D26" s="45">
        <f>B26/B25-1</f>
        <v/>
      </c>
      <c r="E26" s="45">
        <f>C26/C25-1</f>
        <v/>
      </c>
      <c r="F26" s="35" t="n"/>
      <c r="G26" s="35" t="n"/>
      <c r="H26" s="33" t="n"/>
      <c r="I26" s="33" t="n"/>
      <c r="J26" s="33" t="n"/>
      <c r="K26" s="33" t="n"/>
      <c r="L26" s="33" t="n"/>
    </row>
    <row r="27">
      <c r="A27" s="36" t="inlineStr">
        <is>
          <t>2025-03-18</t>
        </is>
      </c>
      <c r="B27" s="76" t="n">
        <v>56.41999816894531</v>
      </c>
      <c r="C27" s="77" t="n">
        <v>5614.66015625</v>
      </c>
      <c r="D27" s="45">
        <f>B27/B26-1</f>
        <v/>
      </c>
      <c r="E27" s="45">
        <f>C27/C26-1</f>
        <v/>
      </c>
      <c r="F27" s="35" t="n"/>
      <c r="G27" s="35" t="n"/>
      <c r="H27" s="33" t="n"/>
      <c r="I27" s="33" t="n"/>
      <c r="J27" s="33" t="n"/>
      <c r="K27" s="33" t="n"/>
      <c r="L27" s="33" t="n"/>
    </row>
    <row r="28">
      <c r="A28" s="36" t="inlineStr">
        <is>
          <t>2025-03-19</t>
        </is>
      </c>
      <c r="B28" s="76" t="n">
        <v>56.33000183105469</v>
      </c>
      <c r="C28" s="77" t="n">
        <v>5675.2900390625</v>
      </c>
      <c r="D28" s="45">
        <f>B28/B27-1</f>
        <v/>
      </c>
      <c r="E28" s="45">
        <f>C28/C27-1</f>
        <v/>
      </c>
      <c r="F28" s="35" t="n"/>
      <c r="G28" s="35" t="n"/>
      <c r="H28" s="33" t="n"/>
      <c r="I28" s="33" t="n"/>
      <c r="J28" s="33" t="n"/>
      <c r="K28" s="33" t="n"/>
      <c r="L28" s="33" t="n"/>
    </row>
    <row r="29">
      <c r="A29" s="36" t="inlineStr">
        <is>
          <t>2025-03-20</t>
        </is>
      </c>
      <c r="B29" s="76" t="n">
        <v>56.20999908447266</v>
      </c>
      <c r="C29" s="77" t="n">
        <v>5662.89013671875</v>
      </c>
      <c r="D29" s="45">
        <f>B29/B28-1</f>
        <v/>
      </c>
      <c r="E29" s="45">
        <f>C29/C28-1</f>
        <v/>
      </c>
      <c r="F29" s="35" t="n"/>
      <c r="G29" s="35" t="n"/>
      <c r="H29" s="33" t="n"/>
      <c r="I29" s="33" t="n"/>
      <c r="J29" s="33" t="n"/>
      <c r="K29" s="33" t="n"/>
      <c r="L29" s="33" t="n"/>
    </row>
    <row r="30">
      <c r="A30" s="36" t="inlineStr">
        <is>
          <t>2025-03-21</t>
        </is>
      </c>
      <c r="B30" s="76" t="n">
        <v>53.95999908447266</v>
      </c>
      <c r="C30" s="77" t="n">
        <v>5667.56005859375</v>
      </c>
      <c r="D30" s="45">
        <f>B30/B29-1</f>
        <v/>
      </c>
      <c r="E30" s="45">
        <f>C30/C29-1</f>
        <v/>
      </c>
      <c r="F30" s="35" t="n"/>
      <c r="G30" s="35" t="n"/>
      <c r="H30" s="33" t="n"/>
      <c r="I30" s="33" t="n"/>
      <c r="J30" s="33" t="n"/>
      <c r="K30" s="33" t="n"/>
      <c r="L30" s="33" t="n"/>
    </row>
    <row r="31">
      <c r="A31" s="36" t="inlineStr">
        <is>
          <t>2025-03-24</t>
        </is>
      </c>
      <c r="B31" s="76" t="n">
        <v>52.9900016784668</v>
      </c>
      <c r="C31" s="77" t="n">
        <v>5767.56982421875</v>
      </c>
      <c r="D31" s="45">
        <f>B31/B30-1</f>
        <v/>
      </c>
      <c r="E31" s="45">
        <f>C31/C30-1</f>
        <v/>
      </c>
      <c r="F31" s="35" t="n"/>
      <c r="G31" s="35" t="n"/>
      <c r="H31" s="33" t="n"/>
      <c r="I31" s="33" t="n"/>
      <c r="J31" s="33" t="n"/>
      <c r="K31" s="33" t="n"/>
      <c r="L31" s="33" t="n"/>
    </row>
    <row r="32">
      <c r="A32" s="36" t="inlineStr">
        <is>
          <t>2025-03-25</t>
        </is>
      </c>
      <c r="B32" s="76" t="n">
        <v>52.20000076293945</v>
      </c>
      <c r="C32" s="77" t="n">
        <v>5776.64990234375</v>
      </c>
      <c r="D32" s="45">
        <f>B32/B31-1</f>
        <v/>
      </c>
      <c r="E32" s="45">
        <f>C32/C31-1</f>
        <v/>
      </c>
      <c r="F32" s="35" t="n"/>
      <c r="G32" s="35" t="n"/>
      <c r="H32" s="33" t="n"/>
      <c r="I32" s="33" t="n"/>
      <c r="J32" s="33" t="n"/>
      <c r="K32" s="33" t="n"/>
      <c r="L32" s="33" t="n"/>
    </row>
    <row r="33">
      <c r="A33" s="36" t="inlineStr">
        <is>
          <t>2025-03-26</t>
        </is>
      </c>
      <c r="B33" s="76" t="n">
        <v>52.61999893188477</v>
      </c>
      <c r="C33" s="77" t="n">
        <v>5712.2001953125</v>
      </c>
      <c r="D33" s="45">
        <f>B33/B32-1</f>
        <v/>
      </c>
      <c r="E33" s="45">
        <f>C33/C32-1</f>
        <v/>
      </c>
      <c r="F33" s="35" t="n"/>
      <c r="G33" s="35" t="n"/>
      <c r="H33" s="33" t="n"/>
      <c r="I33" s="33" t="n"/>
      <c r="J33" s="33" t="n"/>
      <c r="K33" s="33" t="n"/>
      <c r="L33" s="33" t="n"/>
    </row>
    <row r="34">
      <c r="A34" s="36" t="inlineStr">
        <is>
          <t>2025-03-27</t>
        </is>
      </c>
      <c r="B34" s="76" t="n">
        <v>52.88000106811523</v>
      </c>
      <c r="C34" s="77" t="n">
        <v>5693.31005859375</v>
      </c>
      <c r="D34" s="45">
        <f>B34/B33-1</f>
        <v/>
      </c>
      <c r="E34" s="45">
        <f>C34/C33-1</f>
        <v/>
      </c>
      <c r="F34" s="35" t="n"/>
      <c r="G34" s="35" t="n"/>
      <c r="H34" s="33" t="n"/>
      <c r="I34" s="33" t="n"/>
      <c r="J34" s="33" t="n"/>
      <c r="K34" s="33" t="n"/>
      <c r="L34" s="33" t="n"/>
    </row>
    <row r="35">
      <c r="A35" s="36" t="inlineStr">
        <is>
          <t>2025-03-28</t>
        </is>
      </c>
      <c r="B35" s="76" t="n">
        <v>48.97000122070312</v>
      </c>
      <c r="C35" s="77" t="n">
        <v>5580.93994140625</v>
      </c>
      <c r="D35" s="45">
        <f>B35/B34-1</f>
        <v/>
      </c>
      <c r="E35" s="45">
        <f>C35/C34-1</f>
        <v/>
      </c>
      <c r="F35" s="35" t="n"/>
      <c r="G35" s="35" t="n"/>
      <c r="H35" s="33" t="n"/>
      <c r="I35" s="33" t="n"/>
      <c r="J35" s="33" t="n"/>
      <c r="K35" s="33" t="n"/>
      <c r="L35" s="33" t="n"/>
    </row>
    <row r="36">
      <c r="A36" s="36" t="inlineStr">
        <is>
          <t>2025-03-31</t>
        </is>
      </c>
      <c r="B36" s="76" t="n">
        <v>47.61000061035156</v>
      </c>
      <c r="C36" s="77" t="n">
        <v>5611.85009765625</v>
      </c>
      <c r="D36" s="45">
        <f>B36/B35-1</f>
        <v/>
      </c>
      <c r="E36" s="45">
        <f>C36/C35-1</f>
        <v/>
      </c>
      <c r="F36" s="35" t="n"/>
      <c r="G36" s="35" t="n"/>
      <c r="H36" s="33" t="n"/>
      <c r="I36" s="33" t="n"/>
      <c r="J36" s="33" t="n"/>
      <c r="K36" s="33" t="n"/>
      <c r="L36" s="33" t="n"/>
    </row>
    <row r="37">
      <c r="A37" s="36" t="inlineStr">
        <is>
          <t>2025-04-01</t>
        </is>
      </c>
      <c r="B37" s="76" t="n">
        <v>48.11000061035156</v>
      </c>
      <c r="C37" s="77" t="n">
        <v>5633.06982421875</v>
      </c>
      <c r="D37" s="45">
        <f>B37/B36-1</f>
        <v/>
      </c>
      <c r="E37" s="45">
        <f>C37/C36-1</f>
        <v/>
      </c>
      <c r="F37" s="35" t="n"/>
      <c r="G37" s="35" t="n"/>
      <c r="H37" s="33" t="n"/>
      <c r="I37" s="33" t="n"/>
      <c r="J37" s="33" t="n"/>
      <c r="K37" s="33" t="n"/>
      <c r="L37" s="33" t="n"/>
    </row>
    <row r="38">
      <c r="A38" s="36" t="inlineStr">
        <is>
          <t>2025-04-02</t>
        </is>
      </c>
      <c r="B38" s="76" t="n">
        <v>47.66999816894531</v>
      </c>
      <c r="C38" s="77" t="n">
        <v>5670.97021484375</v>
      </c>
      <c r="D38" s="45">
        <f>B38/B37-1</f>
        <v/>
      </c>
      <c r="E38" s="45">
        <f>C38/C37-1</f>
        <v/>
      </c>
      <c r="F38" s="35" t="n"/>
      <c r="G38" s="35" t="n"/>
      <c r="H38" s="33" t="n"/>
      <c r="I38" s="33" t="n"/>
      <c r="J38" s="33" t="n"/>
      <c r="K38" s="33" t="n"/>
      <c r="L38" s="33" t="n"/>
    </row>
    <row r="39">
      <c r="A39" s="36" t="inlineStr">
        <is>
          <t>2025-04-03</t>
        </is>
      </c>
      <c r="B39" s="76" t="n">
        <v>38.2599983215332</v>
      </c>
      <c r="C39" s="77" t="n">
        <v>5396.52001953125</v>
      </c>
      <c r="D39" s="45">
        <f>B39/B38-1</f>
        <v/>
      </c>
      <c r="E39" s="45">
        <f>C39/C38-1</f>
        <v/>
      </c>
      <c r="F39" s="35" t="n"/>
      <c r="G39" s="35" t="n"/>
      <c r="H39" s="33" t="n"/>
      <c r="I39" s="33" t="n"/>
      <c r="J39" s="33" t="n"/>
      <c r="K39" s="33" t="n"/>
      <c r="L39" s="33" t="n"/>
    </row>
    <row r="40">
      <c r="A40" s="36" t="inlineStr">
        <is>
          <t>2025-04-04</t>
        </is>
      </c>
      <c r="B40" s="76" t="n">
        <v>30.11000061035156</v>
      </c>
      <c r="C40" s="77" t="n">
        <v>5074.080078125</v>
      </c>
      <c r="D40" s="45">
        <f>B40/B39-1</f>
        <v/>
      </c>
      <c r="E40" s="45">
        <f>C40/C39-1</f>
        <v/>
      </c>
      <c r="F40" s="35" t="n"/>
      <c r="G40" s="35" t="n"/>
      <c r="H40" s="33" t="n"/>
      <c r="I40" s="33" t="n"/>
      <c r="J40" s="33" t="n"/>
      <c r="K40" s="33" t="n"/>
      <c r="L40" s="33" t="n"/>
    </row>
    <row r="41">
      <c r="A41" s="36" t="inlineStr">
        <is>
          <t>2025-04-07</t>
        </is>
      </c>
      <c r="B41" s="76" t="n">
        <v>31.47999954223633</v>
      </c>
      <c r="C41" s="77" t="n">
        <v>5062.25</v>
      </c>
      <c r="D41" s="45">
        <f>B41/B40-1</f>
        <v/>
      </c>
      <c r="E41" s="45">
        <f>C41/C40-1</f>
        <v/>
      </c>
      <c r="F41" s="35" t="n"/>
      <c r="G41" s="35" t="n"/>
      <c r="H41" s="33" t="n"/>
      <c r="I41" s="33" t="n"/>
      <c r="J41" s="33" t="n"/>
      <c r="K41" s="33" t="n"/>
      <c r="L41" s="33" t="n"/>
    </row>
    <row r="42">
      <c r="A42" s="36" t="inlineStr">
        <is>
          <t>2025-04-08</t>
        </is>
      </c>
      <c r="B42" s="76" t="n">
        <v>32.34999847412109</v>
      </c>
      <c r="C42" s="77" t="n">
        <v>4982.77001953125</v>
      </c>
      <c r="D42" s="45">
        <f>B42/B41-1</f>
        <v/>
      </c>
      <c r="E42" s="45">
        <f>C42/C41-1</f>
        <v/>
      </c>
      <c r="F42" s="35" t="n"/>
      <c r="G42" s="35" t="n"/>
      <c r="H42" s="33" t="n"/>
      <c r="I42" s="33" t="n"/>
      <c r="J42" s="33" t="n"/>
      <c r="K42" s="33" t="n"/>
      <c r="L42" s="33" t="n"/>
    </row>
    <row r="43">
      <c r="A43" s="36" t="inlineStr">
        <is>
          <t>2025-04-09</t>
        </is>
      </c>
      <c r="B43" s="76" t="n">
        <v>36.58000183105469</v>
      </c>
      <c r="C43" s="77" t="n">
        <v>5456.89990234375</v>
      </c>
      <c r="D43" s="45">
        <f>B43/B42-1</f>
        <v/>
      </c>
      <c r="E43" s="45">
        <f>C43/C42-1</f>
        <v/>
      </c>
      <c r="F43" s="35" t="n"/>
      <c r="G43" s="35" t="n"/>
      <c r="H43" s="33" t="n"/>
      <c r="I43" s="33" t="n"/>
      <c r="J43" s="33" t="n"/>
      <c r="K43" s="33" t="n"/>
      <c r="L43" s="33" t="n"/>
    </row>
    <row r="44">
      <c r="A44" s="36" t="inlineStr">
        <is>
          <t>2025-04-10</t>
        </is>
      </c>
      <c r="B44" s="76" t="n">
        <v>31.07500076293945</v>
      </c>
      <c r="C44" s="77" t="n">
        <v>5268.0498046875</v>
      </c>
      <c r="D44" s="45">
        <f>B44/B43-1</f>
        <v/>
      </c>
      <c r="E44" s="45">
        <f>C44/C43-1</f>
        <v/>
      </c>
      <c r="F44" s="35" t="n"/>
      <c r="G44" s="35" t="n"/>
      <c r="H44" s="33" t="n"/>
      <c r="I44" s="33" t="n"/>
      <c r="J44" s="33" t="n"/>
      <c r="K44" s="33" t="n"/>
      <c r="L44" s="33" t="n"/>
    </row>
    <row r="45">
      <c r="A45" s="36" t="inlineStr">
        <is>
          <t>2025-04-11</t>
        </is>
      </c>
      <c r="B45" s="76" t="n">
        <v>31.96999931335449</v>
      </c>
      <c r="C45" s="77" t="n">
        <v>5363.35986328125</v>
      </c>
      <c r="D45" s="45">
        <f>B45/B44-1</f>
        <v/>
      </c>
      <c r="E45" s="45">
        <f>C45/C44-1</f>
        <v/>
      </c>
      <c r="F45" s="35" t="n"/>
      <c r="G45" s="35" t="n"/>
      <c r="H45" s="33" t="n"/>
      <c r="I45" s="33" t="n"/>
      <c r="J45" s="33" t="n"/>
      <c r="K45" s="33" t="n"/>
      <c r="L45" s="33" t="n"/>
    </row>
    <row r="46">
      <c r="A46" s="36" t="inlineStr">
        <is>
          <t>2025-04-14</t>
        </is>
      </c>
      <c r="B46" s="76" t="n">
        <v>33.54999923706055</v>
      </c>
      <c r="C46" s="77" t="n">
        <v>5405.97021484375</v>
      </c>
      <c r="D46" s="45">
        <f>B46/B45-1</f>
        <v/>
      </c>
      <c r="E46" s="45">
        <f>C46/C45-1</f>
        <v/>
      </c>
      <c r="F46" s="35" t="n"/>
      <c r="G46" s="35" t="n"/>
      <c r="H46" s="33" t="n"/>
      <c r="I46" s="33" t="n"/>
      <c r="J46" s="33" t="n"/>
      <c r="K46" s="33" t="n"/>
      <c r="L46" s="33" t="n"/>
    </row>
    <row r="47">
      <c r="A47" s="36" t="inlineStr">
        <is>
          <t>2025-04-15</t>
        </is>
      </c>
      <c r="B47" s="76" t="n">
        <v>33.22999954223633</v>
      </c>
      <c r="C47" s="77" t="n">
        <v>5396.6298828125</v>
      </c>
      <c r="D47" s="45">
        <f>B47/B46-1</f>
        <v/>
      </c>
      <c r="E47" s="45">
        <f>C47/C46-1</f>
        <v/>
      </c>
      <c r="F47" s="35" t="n"/>
      <c r="G47" s="35" t="n"/>
      <c r="H47" s="33" t="n"/>
      <c r="I47" s="33" t="n"/>
      <c r="J47" s="33" t="n"/>
      <c r="K47" s="33" t="n"/>
      <c r="L47" s="33" t="n"/>
    </row>
    <row r="48">
      <c r="A48" s="36" t="inlineStr">
        <is>
          <t>2025-04-16</t>
        </is>
      </c>
      <c r="B48" s="76" t="n">
        <v>32.02999877929688</v>
      </c>
      <c r="C48" s="77" t="n">
        <v>5275.7001953125</v>
      </c>
      <c r="D48" s="45">
        <f>B48/B47-1</f>
        <v/>
      </c>
      <c r="E48" s="45">
        <f>C48/C47-1</f>
        <v/>
      </c>
      <c r="F48" s="35" t="n"/>
      <c r="G48" s="35" t="n"/>
      <c r="H48" s="33" t="n"/>
      <c r="I48" s="33" t="n"/>
      <c r="J48" s="33" t="n"/>
      <c r="K48" s="33" t="n"/>
      <c r="L48" s="33" t="n"/>
    </row>
    <row r="49">
      <c r="A49" s="36" t="inlineStr">
        <is>
          <t>2025-04-17</t>
        </is>
      </c>
      <c r="B49" s="76" t="n">
        <v>31.29000091552734</v>
      </c>
      <c r="C49" s="77" t="n">
        <v>5282.7001953125</v>
      </c>
      <c r="D49" s="45">
        <f>B49/B48-1</f>
        <v/>
      </c>
      <c r="E49" s="45">
        <f>C49/C48-1</f>
        <v/>
      </c>
      <c r="F49" s="35" t="n"/>
      <c r="G49" s="35" t="n"/>
      <c r="H49" s="33" t="n"/>
      <c r="I49" s="33" t="n"/>
      <c r="J49" s="33" t="n"/>
      <c r="K49" s="33" t="n"/>
      <c r="L49" s="33" t="n"/>
    </row>
    <row r="50">
      <c r="A50" s="36" t="inlineStr">
        <is>
          <t>2025-04-21</t>
        </is>
      </c>
      <c r="B50" s="76" t="n">
        <v>29.80999946594238</v>
      </c>
      <c r="C50" s="77" t="n">
        <v>5158.2001953125</v>
      </c>
      <c r="D50" s="45">
        <f>B50/B49-1</f>
        <v/>
      </c>
      <c r="E50" s="45">
        <f>C50/C49-1</f>
        <v/>
      </c>
      <c r="F50" s="35" t="n"/>
      <c r="G50" s="35" t="n"/>
      <c r="H50" s="33" t="n"/>
      <c r="I50" s="33" t="n"/>
      <c r="J50" s="33" t="n"/>
      <c r="K50" s="33" t="n"/>
      <c r="L50" s="33" t="n"/>
    </row>
    <row r="51">
      <c r="A51" s="36" t="inlineStr">
        <is>
          <t>2025-04-22</t>
        </is>
      </c>
      <c r="B51" s="76" t="n">
        <v>29.6200008392334</v>
      </c>
      <c r="C51" s="77" t="n">
        <v>5287.759765625</v>
      </c>
      <c r="D51" s="45">
        <f>B51/B50-1</f>
        <v/>
      </c>
      <c r="E51" s="45">
        <f>C51/C50-1</f>
        <v/>
      </c>
      <c r="F51" s="35" t="n"/>
      <c r="G51" s="35" t="n"/>
      <c r="H51" s="33" t="n"/>
      <c r="I51" s="33" t="n"/>
      <c r="J51" s="33" t="n"/>
      <c r="K51" s="33" t="n"/>
      <c r="L51" s="33" t="n"/>
    </row>
    <row r="52">
      <c r="A52" s="36" t="inlineStr">
        <is>
          <t>2025-04-23</t>
        </is>
      </c>
      <c r="B52" s="76" t="n">
        <v>30.36000061035156</v>
      </c>
      <c r="C52" s="77" t="n">
        <v>5375.85986328125</v>
      </c>
      <c r="D52" s="45">
        <f>B52/B51-1</f>
        <v/>
      </c>
      <c r="E52" s="45">
        <f>C52/C51-1</f>
        <v/>
      </c>
      <c r="F52" s="35" t="n"/>
      <c r="G52" s="35" t="n"/>
      <c r="H52" s="33" t="n"/>
      <c r="I52" s="33" t="n"/>
      <c r="J52" s="33" t="n"/>
      <c r="K52" s="33" t="n"/>
      <c r="L52" s="33" t="n"/>
    </row>
    <row r="53">
      <c r="A53" s="36" t="inlineStr">
        <is>
          <t>2025-04-24</t>
        </is>
      </c>
      <c r="B53" s="76" t="n">
        <v>32.29000091552734</v>
      </c>
      <c r="C53" s="77" t="n">
        <v>5484.77001953125</v>
      </c>
      <c r="D53" s="45">
        <f>B53/B52-1</f>
        <v/>
      </c>
      <c r="E53" s="45">
        <f>C53/C52-1</f>
        <v/>
      </c>
      <c r="F53" s="35" t="n"/>
      <c r="G53" s="35" t="n"/>
      <c r="H53" s="33" t="n"/>
      <c r="I53" s="33" t="n"/>
      <c r="J53" s="33" t="n"/>
      <c r="K53" s="33" t="n"/>
      <c r="L53" s="33" t="n"/>
    </row>
    <row r="54">
      <c r="A54" s="36" t="inlineStr">
        <is>
          <t>2025-04-25</t>
        </is>
      </c>
      <c r="B54" s="76" t="n">
        <v>32.84999847412109</v>
      </c>
      <c r="C54" s="77" t="n">
        <v>5525.2099609375</v>
      </c>
      <c r="D54" s="45">
        <f>B54/B53-1</f>
        <v/>
      </c>
      <c r="E54" s="45">
        <f>C54/C53-1</f>
        <v/>
      </c>
      <c r="F54" s="35" t="n"/>
      <c r="G54" s="35" t="n"/>
      <c r="H54" s="33" t="n"/>
      <c r="I54" s="33" t="n"/>
      <c r="J54" s="33" t="n"/>
      <c r="K54" s="33" t="n"/>
      <c r="L54" s="33" t="n"/>
    </row>
    <row r="55">
      <c r="A55" s="36" t="inlineStr">
        <is>
          <t>2025-04-28</t>
        </is>
      </c>
      <c r="B55" s="76" t="n">
        <v>32.27000045776367</v>
      </c>
      <c r="C55" s="77" t="n">
        <v>5528.75</v>
      </c>
      <c r="D55" s="45">
        <f>B55/B54-1</f>
        <v/>
      </c>
      <c r="E55" s="45">
        <f>C55/C54-1</f>
        <v/>
      </c>
      <c r="F55" s="35" t="n"/>
      <c r="G55" s="35" t="n"/>
      <c r="H55" s="33" t="n"/>
      <c r="I55" s="33" t="n"/>
      <c r="J55" s="33" t="n"/>
      <c r="K55" s="33" t="n"/>
      <c r="L55" s="33" t="n"/>
    </row>
    <row r="56">
      <c r="A56" s="36" t="inlineStr">
        <is>
          <t>2025-04-29</t>
        </is>
      </c>
      <c r="B56" s="76" t="n">
        <v>32.93999862670898</v>
      </c>
      <c r="C56" s="77" t="n">
        <v>5560.830078125</v>
      </c>
      <c r="D56" s="45">
        <f>B56/B55-1</f>
        <v/>
      </c>
      <c r="E56" s="45">
        <f>C56/C55-1</f>
        <v/>
      </c>
      <c r="F56" s="35" t="n"/>
      <c r="G56" s="35" t="n"/>
      <c r="H56" s="33" t="n"/>
      <c r="I56" s="33" t="n"/>
      <c r="J56" s="33" t="n"/>
      <c r="K56" s="33" t="n"/>
      <c r="L56" s="33" t="n"/>
    </row>
    <row r="57">
      <c r="A57" s="36" t="inlineStr">
        <is>
          <t>2025-04-30</t>
        </is>
      </c>
      <c r="B57" s="76" t="n">
        <v>32.11000061035156</v>
      </c>
      <c r="C57" s="77" t="n">
        <v>5569.06005859375</v>
      </c>
      <c r="D57" s="45">
        <f>B57/B56-1</f>
        <v/>
      </c>
      <c r="E57" s="45">
        <f>C57/C56-1</f>
        <v/>
      </c>
      <c r="F57" s="35" t="n"/>
      <c r="G57" s="35" t="n"/>
      <c r="H57" s="33" t="n"/>
      <c r="I57" s="33" t="n"/>
      <c r="J57" s="33" t="n"/>
      <c r="K57" s="33" t="n"/>
      <c r="L57" s="33" t="n"/>
    </row>
    <row r="58">
      <c r="A58" s="36" t="inlineStr">
        <is>
          <t>2025-05-01</t>
        </is>
      </c>
      <c r="B58" s="76" t="n">
        <v>32.59000015258789</v>
      </c>
      <c r="C58" s="77" t="n">
        <v>5604.14013671875</v>
      </c>
      <c r="D58" s="45">
        <f>B58/B57-1</f>
        <v/>
      </c>
      <c r="E58" s="45">
        <f>C58/C57-1</f>
        <v/>
      </c>
      <c r="F58" s="35" t="n"/>
      <c r="G58" s="35" t="n"/>
      <c r="H58" s="33" t="n"/>
      <c r="I58" s="33" t="n"/>
      <c r="J58" s="33" t="n"/>
      <c r="K58" s="33" t="n"/>
      <c r="L58" s="33" t="n"/>
    </row>
    <row r="59">
      <c r="A59" s="36" t="inlineStr">
        <is>
          <t>2025-05-02</t>
        </is>
      </c>
      <c r="B59" s="76" t="n">
        <v>34.40000152587891</v>
      </c>
      <c r="C59" s="77" t="n">
        <v>5686.669921875</v>
      </c>
      <c r="D59" s="45">
        <f>B59/B58-1</f>
        <v/>
      </c>
      <c r="E59" s="45">
        <f>C59/C58-1</f>
        <v/>
      </c>
      <c r="F59" s="35" t="n"/>
      <c r="G59" s="35" t="n"/>
      <c r="H59" s="33" t="n"/>
      <c r="I59" s="33" t="n"/>
      <c r="J59" s="33" t="n"/>
      <c r="K59" s="33" t="n"/>
      <c r="L59" s="33" t="n"/>
    </row>
    <row r="60">
      <c r="A60" s="36" t="inlineStr">
        <is>
          <t>2025-05-05</t>
        </is>
      </c>
      <c r="B60" s="76" t="n">
        <v>34.61000061035156</v>
      </c>
      <c r="C60" s="77" t="n">
        <v>5650.3798828125</v>
      </c>
      <c r="D60" s="45">
        <f>B60/B59-1</f>
        <v/>
      </c>
      <c r="E60" s="45">
        <f>C60/C59-1</f>
        <v/>
      </c>
      <c r="F60" s="35" t="n"/>
      <c r="G60" s="35" t="n"/>
      <c r="H60" s="33" t="n"/>
      <c r="I60" s="33" t="n"/>
      <c r="J60" s="33" t="n"/>
      <c r="K60" s="33" t="n"/>
      <c r="L60" s="33" t="n"/>
    </row>
    <row r="61">
      <c r="A61" s="36" t="inlineStr">
        <is>
          <t>2025-05-06</t>
        </is>
      </c>
      <c r="B61" s="76" t="n">
        <v>33.83000183105469</v>
      </c>
      <c r="C61" s="77" t="n">
        <v>5606.91015625</v>
      </c>
      <c r="D61" s="45">
        <f>B61/B60-1</f>
        <v/>
      </c>
      <c r="E61" s="45">
        <f>C61/C60-1</f>
        <v/>
      </c>
      <c r="F61" s="35" t="n"/>
      <c r="G61" s="35" t="n"/>
      <c r="H61" s="33" t="n"/>
      <c r="I61" s="33" t="n"/>
      <c r="J61" s="33" t="n"/>
      <c r="K61" s="33" t="n"/>
      <c r="L61" s="33" t="n"/>
    </row>
    <row r="62">
      <c r="A62" s="36" t="inlineStr">
        <is>
          <t>2025-05-07</t>
        </is>
      </c>
      <c r="B62" s="76" t="n">
        <v>34.97000122070312</v>
      </c>
      <c r="C62" s="77" t="n">
        <v>5631.27978515625</v>
      </c>
      <c r="D62" s="45">
        <f>B62/B61-1</f>
        <v/>
      </c>
      <c r="E62" s="45">
        <f>C62/C61-1</f>
        <v/>
      </c>
      <c r="F62" s="35" t="n"/>
      <c r="G62" s="35" t="n"/>
      <c r="H62" s="33" t="n"/>
      <c r="I62" s="33" t="n"/>
      <c r="J62" s="33" t="n"/>
      <c r="K62" s="33" t="n"/>
      <c r="L62" s="33" t="n"/>
    </row>
    <row r="63">
      <c r="A63" s="36" t="inlineStr">
        <is>
          <t>2025-05-08</t>
        </is>
      </c>
      <c r="B63" s="76" t="n">
        <v>36.65999984741211</v>
      </c>
      <c r="C63" s="77" t="n">
        <v>5663.93994140625</v>
      </c>
      <c r="D63" s="45">
        <f>B63/B62-1</f>
        <v/>
      </c>
      <c r="E63" s="45">
        <f>C63/C62-1</f>
        <v/>
      </c>
      <c r="F63" s="35" t="n"/>
      <c r="G63" s="35" t="n"/>
      <c r="H63" s="33" t="n"/>
      <c r="I63" s="33" t="n"/>
      <c r="J63" s="33" t="n"/>
      <c r="K63" s="33" t="n"/>
      <c r="L63" s="33" t="n"/>
    </row>
    <row r="64">
      <c r="A64" s="36" t="inlineStr">
        <is>
          <t>2025-05-09</t>
        </is>
      </c>
      <c r="B64" s="76" t="n">
        <v>37.7400016784668</v>
      </c>
      <c r="C64" s="77" t="n">
        <v>5659.91015625</v>
      </c>
      <c r="D64" s="45">
        <f>B64/B63-1</f>
        <v/>
      </c>
      <c r="E64" s="45">
        <f>C64/C63-1</f>
        <v/>
      </c>
      <c r="F64" s="35" t="n"/>
      <c r="G64" s="35" t="n"/>
      <c r="H64" s="33" t="n"/>
      <c r="I64" s="33" t="n"/>
      <c r="J64" s="33" t="n"/>
      <c r="K64" s="33" t="n"/>
      <c r="L64" s="33" t="n"/>
    </row>
    <row r="65">
      <c r="A65" s="36" t="inlineStr">
        <is>
          <t>2025-05-12</t>
        </is>
      </c>
      <c r="B65" s="76" t="n">
        <v>41.27000045776367</v>
      </c>
      <c r="C65" s="77" t="n">
        <v>5844.18994140625</v>
      </c>
      <c r="D65" s="45">
        <f>B65/B64-1</f>
        <v/>
      </c>
      <c r="E65" s="45">
        <f>C65/C64-1</f>
        <v/>
      </c>
      <c r="F65" s="35" t="n"/>
      <c r="G65" s="35" t="n"/>
      <c r="H65" s="33" t="n"/>
      <c r="I65" s="33" t="n"/>
      <c r="J65" s="33" t="n"/>
      <c r="K65" s="33" t="n"/>
      <c r="L65" s="33" t="n"/>
    </row>
    <row r="66">
      <c r="A66" s="36" t="inlineStr">
        <is>
          <t>2025-05-13</t>
        </is>
      </c>
      <c r="B66" s="76" t="n">
        <v>42</v>
      </c>
      <c r="C66" s="77" t="n">
        <v>5886.5498046875</v>
      </c>
      <c r="D66" s="45">
        <f>B66/B65-1</f>
        <v/>
      </c>
      <c r="E66" s="45">
        <f>C66/C65-1</f>
        <v/>
      </c>
      <c r="F66" s="35" t="n"/>
      <c r="G66" s="35" t="n"/>
      <c r="H66" s="33" t="n"/>
      <c r="I66" s="33" t="n"/>
      <c r="J66" s="33" t="n"/>
      <c r="K66" s="33" t="n"/>
      <c r="L66" s="33" t="n"/>
    </row>
    <row r="67">
      <c r="A67" s="36" t="inlineStr">
        <is>
          <t>2025-05-14</t>
        </is>
      </c>
      <c r="B67" s="76" t="n">
        <v>41.93000030517578</v>
      </c>
      <c r="C67" s="77" t="n">
        <v>5892.580078125</v>
      </c>
      <c r="D67" s="45">
        <f>B67/B66-1</f>
        <v/>
      </c>
      <c r="E67" s="45">
        <f>C67/C66-1</f>
        <v/>
      </c>
      <c r="F67" s="35" t="n"/>
      <c r="G67" s="35" t="n"/>
      <c r="H67" s="33" t="n"/>
      <c r="I67" s="33" t="n"/>
      <c r="J67" s="33" t="n"/>
      <c r="K67" s="33" t="n"/>
      <c r="L67" s="33" t="n"/>
    </row>
    <row r="68">
      <c r="A68" s="36" t="inlineStr">
        <is>
          <t>2025-05-15</t>
        </is>
      </c>
      <c r="B68" s="76" t="n">
        <v>40.54000091552734</v>
      </c>
      <c r="C68" s="77" t="n">
        <v>5916.93017578125</v>
      </c>
      <c r="D68" s="45">
        <f>B68/B67-1</f>
        <v/>
      </c>
      <c r="E68" s="45">
        <f>C68/C67-1</f>
        <v/>
      </c>
      <c r="F68" s="35" t="n"/>
      <c r="G68" s="35" t="n"/>
      <c r="H68" s="33" t="n"/>
      <c r="I68" s="33" t="n"/>
      <c r="J68" s="33" t="n"/>
      <c r="K68" s="33" t="n"/>
      <c r="L68" s="33" t="n"/>
    </row>
    <row r="69">
      <c r="A69" s="36" t="inlineStr">
        <is>
          <t>2025-05-16</t>
        </is>
      </c>
      <c r="B69" s="76" t="n">
        <v>40.43999862670898</v>
      </c>
      <c r="C69" s="77" t="n">
        <v>5958.3798828125</v>
      </c>
      <c r="D69" s="45">
        <f>B69/B68-1</f>
        <v/>
      </c>
      <c r="E69" s="45">
        <f>C69/C68-1</f>
        <v/>
      </c>
      <c r="F69" s="35" t="n"/>
      <c r="G69" s="35" t="n"/>
      <c r="H69" s="33" t="n"/>
      <c r="I69" s="33" t="n"/>
      <c r="J69" s="33" t="n"/>
      <c r="K69" s="33" t="n"/>
      <c r="L69" s="33" t="n"/>
    </row>
    <row r="70">
      <c r="A70" s="36" t="inlineStr">
        <is>
          <t>2025-05-19</t>
        </is>
      </c>
      <c r="B70" s="76" t="n">
        <v>38.77999877929688</v>
      </c>
      <c r="C70" s="77" t="n">
        <v>5963.60009765625</v>
      </c>
      <c r="D70" s="45">
        <f>B70/B69-1</f>
        <v/>
      </c>
      <c r="E70" s="45">
        <f>C70/C69-1</f>
        <v/>
      </c>
      <c r="F70" s="35" t="n"/>
      <c r="G70" s="35" t="n"/>
      <c r="H70" s="33" t="n"/>
      <c r="I70" s="33" t="n"/>
      <c r="J70" s="33" t="n"/>
      <c r="K70" s="33" t="n"/>
      <c r="L70" s="33" t="n"/>
    </row>
    <row r="71">
      <c r="A71" s="36" t="inlineStr">
        <is>
          <t>2025-05-20</t>
        </is>
      </c>
      <c r="B71" s="76" t="n">
        <v>40.18000030517578</v>
      </c>
      <c r="C71" s="77" t="n">
        <v>5940.4599609375</v>
      </c>
      <c r="D71" s="45">
        <f>B71/B70-1</f>
        <v/>
      </c>
      <c r="E71" s="45">
        <f>C71/C70-1</f>
        <v/>
      </c>
      <c r="F71" s="35" t="n"/>
      <c r="G71" s="35" t="n"/>
      <c r="H71" s="33" t="n"/>
      <c r="I71" s="33" t="n"/>
      <c r="J71" s="33" t="n"/>
      <c r="K71" s="33" t="n"/>
      <c r="L71" s="33" t="n"/>
    </row>
    <row r="72">
      <c r="A72" s="36" t="inlineStr">
        <is>
          <t>2025-05-21</t>
        </is>
      </c>
      <c r="B72" s="76" t="n">
        <v>38.59999847412109</v>
      </c>
      <c r="C72" s="77" t="n">
        <v>5844.60986328125</v>
      </c>
      <c r="D72" s="45">
        <f>B72/B71-1</f>
        <v/>
      </c>
      <c r="E72" s="45">
        <f>C72/C71-1</f>
        <v/>
      </c>
      <c r="F72" s="35" t="n"/>
      <c r="G72" s="35" t="n"/>
      <c r="H72" s="33" t="n"/>
      <c r="I72" s="33" t="n"/>
      <c r="J72" s="33" t="n"/>
      <c r="K72" s="33" t="n"/>
      <c r="L72" s="33" t="n"/>
    </row>
    <row r="73">
      <c r="A73" s="36" t="inlineStr">
        <is>
          <t>2025-05-22</t>
        </is>
      </c>
      <c r="B73" s="76" t="n">
        <v>37.84000015258789</v>
      </c>
      <c r="C73" s="77" t="n">
        <v>5842.009765625</v>
      </c>
      <c r="D73" s="45">
        <f>B73/B72-1</f>
        <v/>
      </c>
      <c r="E73" s="45">
        <f>C73/C72-1</f>
        <v/>
      </c>
      <c r="F73" s="35" t="n"/>
      <c r="G73" s="35" t="n"/>
      <c r="H73" s="33" t="n"/>
      <c r="I73" s="33" t="n"/>
      <c r="J73" s="33" t="n"/>
      <c r="K73" s="33" t="n"/>
      <c r="L73" s="33" t="n"/>
    </row>
    <row r="74">
      <c r="A74" s="36" t="inlineStr">
        <is>
          <t>2025-05-23</t>
        </is>
      </c>
      <c r="B74" s="76" t="n">
        <v>37.27999877929688</v>
      </c>
      <c r="C74" s="77" t="n">
        <v>5802.81982421875</v>
      </c>
      <c r="D74" s="45">
        <f>B74/B73-1</f>
        <v/>
      </c>
      <c r="E74" s="45">
        <f>C74/C73-1</f>
        <v/>
      </c>
      <c r="F74" s="35" t="n"/>
      <c r="G74" s="35" t="n"/>
      <c r="H74" s="33" t="n"/>
      <c r="I74" s="33" t="n"/>
      <c r="J74" s="33" t="n"/>
      <c r="K74" s="33" t="n"/>
      <c r="L74" s="33" t="n"/>
    </row>
    <row r="75">
      <c r="A75" s="36" t="inlineStr">
        <is>
          <t>2025-05-27</t>
        </is>
      </c>
      <c r="B75" s="76" t="n">
        <v>38.18000030517578</v>
      </c>
      <c r="C75" s="77" t="n">
        <v>5921.5400390625</v>
      </c>
      <c r="D75" s="45">
        <f>B75/B74-1</f>
        <v/>
      </c>
      <c r="E75" s="45">
        <f>C75/C74-1</f>
        <v/>
      </c>
      <c r="F75" s="35" t="n"/>
      <c r="G75" s="35" t="n"/>
      <c r="H75" s="33" t="n"/>
      <c r="I75" s="33" t="n"/>
      <c r="J75" s="33" t="n"/>
      <c r="K75" s="33" t="n"/>
      <c r="L75" s="33" t="n"/>
    </row>
    <row r="76">
      <c r="A76" s="36" t="inlineStr">
        <is>
          <t>2025-05-28</t>
        </is>
      </c>
      <c r="B76" s="76" t="n">
        <v>38.58000183105469</v>
      </c>
      <c r="C76" s="77" t="n">
        <v>5888.5498046875</v>
      </c>
      <c r="D76" s="45">
        <f>B76/B75-1</f>
        <v/>
      </c>
      <c r="E76" s="45">
        <f>C76/C75-1</f>
        <v/>
      </c>
      <c r="F76" s="35" t="n"/>
      <c r="G76" s="35" t="n"/>
      <c r="H76" s="33" t="n"/>
      <c r="I76" s="33" t="n"/>
      <c r="J76" s="33" t="n"/>
      <c r="K76" s="33" t="n"/>
      <c r="L76" s="33" t="n"/>
    </row>
    <row r="77">
      <c r="A77" s="36" t="inlineStr">
        <is>
          <t>2025-05-29</t>
        </is>
      </c>
      <c r="B77" s="76" t="n">
        <v>38.59999847412109</v>
      </c>
      <c r="C77" s="77" t="n">
        <v>5912.169921875</v>
      </c>
      <c r="D77" s="45">
        <f>B77/B76-1</f>
        <v/>
      </c>
      <c r="E77" s="45">
        <f>C77/C76-1</f>
        <v/>
      </c>
      <c r="F77" s="35" t="n"/>
      <c r="G77" s="35" t="n"/>
      <c r="H77" s="33" t="n"/>
      <c r="I77" s="33" t="n"/>
      <c r="J77" s="33" t="n"/>
      <c r="K77" s="33" t="n"/>
      <c r="L77" s="33" t="n"/>
    </row>
    <row r="78">
      <c r="A78" s="36" t="inlineStr">
        <is>
          <t>2025-05-30</t>
        </is>
      </c>
      <c r="B78" s="76" t="n">
        <v>37.68999862670898</v>
      </c>
      <c r="C78" s="77" t="n">
        <v>5911.68994140625</v>
      </c>
      <c r="D78" s="45">
        <f>B78/B77-1</f>
        <v/>
      </c>
      <c r="E78" s="45">
        <f>C78/C77-1</f>
        <v/>
      </c>
      <c r="F78" s="35" t="n"/>
      <c r="G78" s="35" t="n"/>
      <c r="H78" s="33" t="n"/>
      <c r="I78" s="33" t="n"/>
      <c r="J78" s="33" t="n"/>
      <c r="K78" s="33" t="n"/>
      <c r="L78" s="33" t="n"/>
    </row>
    <row r="79">
      <c r="A79" s="36" t="inlineStr">
        <is>
          <t>2025-06-02</t>
        </is>
      </c>
      <c r="B79" s="76" t="n">
        <v>37.33000183105469</v>
      </c>
      <c r="C79" s="77" t="n">
        <v>5935.93994140625</v>
      </c>
      <c r="D79" s="45">
        <f>B79/B78-1</f>
        <v/>
      </c>
      <c r="E79" s="45">
        <f>C79/C78-1</f>
        <v/>
      </c>
      <c r="F79" s="35" t="n"/>
      <c r="G79" s="35" t="n"/>
      <c r="H79" s="33" t="n"/>
      <c r="I79" s="33" t="n"/>
      <c r="J79" s="33" t="n"/>
      <c r="K79" s="33" t="n"/>
      <c r="L79" s="33" t="n"/>
    </row>
    <row r="80">
      <c r="A80" s="36" t="inlineStr">
        <is>
          <t>2025-06-03</t>
        </is>
      </c>
      <c r="B80" s="76" t="n">
        <v>38.63999938964844</v>
      </c>
      <c r="C80" s="77" t="n">
        <v>5970.3701171875</v>
      </c>
      <c r="D80" s="45">
        <f>B80/B79-1</f>
        <v/>
      </c>
      <c r="E80" s="45">
        <f>C80/C79-1</f>
        <v/>
      </c>
      <c r="F80" s="35" t="n"/>
      <c r="G80" s="35" t="n"/>
      <c r="H80" s="33" t="n"/>
      <c r="I80" s="33" t="n"/>
      <c r="J80" s="33" t="n"/>
      <c r="K80" s="33" t="n"/>
      <c r="L80" s="33" t="n"/>
    </row>
    <row r="81">
      <c r="A81" s="36" t="inlineStr">
        <is>
          <t>2025-06-04</t>
        </is>
      </c>
      <c r="B81" s="76" t="n">
        <v>39.81999969482422</v>
      </c>
      <c r="C81" s="77" t="n">
        <v>5970.81005859375</v>
      </c>
      <c r="D81" s="45">
        <f>B81/B80-1</f>
        <v/>
      </c>
      <c r="E81" s="45">
        <f>C81/C80-1</f>
        <v/>
      </c>
      <c r="F81" s="35" t="n"/>
      <c r="G81" s="35" t="n"/>
      <c r="H81" s="33" t="n"/>
      <c r="I81" s="33" t="n"/>
      <c r="J81" s="33" t="n"/>
      <c r="K81" s="33" t="n"/>
      <c r="L81" s="33" t="n"/>
    </row>
    <row r="82">
      <c r="A82" s="36" t="inlineStr">
        <is>
          <t>2025-06-05</t>
        </is>
      </c>
      <c r="B82" s="76" t="n">
        <v>39.11999893188477</v>
      </c>
      <c r="C82" s="77" t="n">
        <v>5939.2998046875</v>
      </c>
      <c r="D82" s="45">
        <f>B82/B81-1</f>
        <v/>
      </c>
      <c r="E82" s="45">
        <f>C82/C81-1</f>
        <v/>
      </c>
      <c r="F82" s="35" t="n"/>
      <c r="G82" s="35" t="n"/>
      <c r="H82" s="33" t="n"/>
      <c r="I82" s="33" t="n"/>
      <c r="J82" s="33" t="n"/>
      <c r="K82" s="33" t="n"/>
      <c r="L82" s="33" t="n"/>
    </row>
    <row r="83">
      <c r="A83" s="36" t="inlineStr">
        <is>
          <t>2025-06-06</t>
        </is>
      </c>
      <c r="B83" s="76" t="n">
        <v>39.15000152587891</v>
      </c>
      <c r="C83" s="77" t="n">
        <v>6000.35986328125</v>
      </c>
      <c r="D83" s="45">
        <f>B83/B82-1</f>
        <v/>
      </c>
      <c r="E83" s="45">
        <f>C83/C82-1</f>
        <v/>
      </c>
      <c r="F83" s="35" t="n"/>
      <c r="G83" s="35" t="n"/>
      <c r="H83" s="33" t="n"/>
      <c r="I83" s="33" t="n"/>
      <c r="J83" s="33" t="n"/>
      <c r="K83" s="33" t="n"/>
      <c r="L83" s="33" t="n"/>
    </row>
    <row r="84">
      <c r="A84" s="36" t="inlineStr">
        <is>
          <t>2025-06-09</t>
        </is>
      </c>
      <c r="B84" s="76" t="n">
        <v>41.81999969482422</v>
      </c>
      <c r="C84" s="77" t="n">
        <v>6005.8798828125</v>
      </c>
      <c r="D84" s="45">
        <f>B84/B83-1</f>
        <v/>
      </c>
      <c r="E84" s="45">
        <f>C84/C83-1</f>
        <v/>
      </c>
      <c r="F84" s="35" t="n"/>
      <c r="G84" s="35" t="n"/>
      <c r="H84" s="33" t="n"/>
      <c r="I84" s="33" t="n"/>
      <c r="J84" s="33" t="n"/>
      <c r="K84" s="33" t="n"/>
      <c r="L84" s="33" t="n"/>
    </row>
    <row r="85">
      <c r="A85" s="36" t="inlineStr">
        <is>
          <t>2025-06-10</t>
        </is>
      </c>
      <c r="B85" s="76" t="n">
        <v>41.59000015258789</v>
      </c>
      <c r="C85" s="77" t="n">
        <v>6038.81005859375</v>
      </c>
      <c r="D85" s="45">
        <f>B85/B84-1</f>
        <v/>
      </c>
      <c r="E85" s="45">
        <f>C85/C84-1</f>
        <v/>
      </c>
      <c r="F85" s="35" t="n"/>
      <c r="G85" s="35" t="n"/>
      <c r="H85" s="33" t="n"/>
      <c r="I85" s="33" t="n"/>
      <c r="J85" s="33" t="n"/>
      <c r="K85" s="33" t="n"/>
      <c r="L85" s="33" t="n"/>
    </row>
    <row r="86">
      <c r="A86" s="36" t="inlineStr">
        <is>
          <t>2025-06-11</t>
        </is>
      </c>
      <c r="B86" s="76" t="n">
        <v>40.22999954223633</v>
      </c>
      <c r="C86" s="77" t="n">
        <v>6022.240234375</v>
      </c>
      <c r="D86" s="45">
        <f>B86/B85-1</f>
        <v/>
      </c>
      <c r="E86" s="45">
        <f>C86/C85-1</f>
        <v/>
      </c>
      <c r="F86" s="35" t="n"/>
      <c r="G86" s="35" t="n"/>
      <c r="H86" s="33" t="n"/>
      <c r="I86" s="33" t="n"/>
      <c r="J86" s="33" t="n"/>
      <c r="K86" s="33" t="n"/>
      <c r="L86" s="33" t="n"/>
    </row>
    <row r="87">
      <c r="A87" s="36" t="inlineStr">
        <is>
          <t>2025-06-12</t>
        </is>
      </c>
      <c r="B87" s="76" t="n">
        <v>41.29999923706055</v>
      </c>
      <c r="C87" s="77" t="n">
        <v>6045.259765625</v>
      </c>
      <c r="D87" s="45">
        <f>B87/B86-1</f>
        <v/>
      </c>
      <c r="E87" s="45">
        <f>C87/C86-1</f>
        <v/>
      </c>
      <c r="F87" s="35" t="n"/>
      <c r="G87" s="35" t="n"/>
      <c r="H87" s="33" t="n"/>
      <c r="I87" s="33" t="n"/>
      <c r="J87" s="33" t="n"/>
      <c r="K87" s="33" t="n"/>
      <c r="L87" s="33" t="n"/>
    </row>
    <row r="88">
      <c r="A88" s="36" t="inlineStr">
        <is>
          <t>2025-06-13</t>
        </is>
      </c>
      <c r="B88" s="76" t="n">
        <v>42.5</v>
      </c>
      <c r="C88" s="77" t="n">
        <v>5976.97021484375</v>
      </c>
      <c r="D88" s="45">
        <f>B88/B87-1</f>
        <v/>
      </c>
      <c r="E88" s="45">
        <f>C88/C87-1</f>
        <v/>
      </c>
      <c r="F88" s="35" t="n"/>
      <c r="G88" s="35" t="n"/>
      <c r="H88" s="33" t="n"/>
      <c r="I88" s="33" t="n"/>
      <c r="J88" s="33" t="n"/>
      <c r="K88" s="33" t="n"/>
      <c r="L88" s="33" t="n"/>
    </row>
    <row r="89">
      <c r="A89" s="36" t="inlineStr">
        <is>
          <t>2025-06-16</t>
        </is>
      </c>
      <c r="B89" s="76" t="n">
        <v>44.20999908447266</v>
      </c>
      <c r="C89" s="77" t="n">
        <v>6033.10986328125</v>
      </c>
      <c r="D89" s="45">
        <f>B89/B88-1</f>
        <v/>
      </c>
      <c r="E89" s="45">
        <f>C89/C88-1</f>
        <v/>
      </c>
      <c r="F89" s="35" t="n"/>
      <c r="G89" s="35" t="n"/>
      <c r="H89" s="33" t="n"/>
      <c r="I89" s="33" t="n"/>
      <c r="J89" s="33" t="n"/>
      <c r="K89" s="33" t="n"/>
      <c r="L89" s="33" t="n"/>
    </row>
    <row r="90">
      <c r="A90" s="36" t="inlineStr">
        <is>
          <t>2025-06-17</t>
        </is>
      </c>
      <c r="B90" s="76" t="n">
        <v>44.09000015258789</v>
      </c>
      <c r="C90" s="77" t="n">
        <v>5982.72021484375</v>
      </c>
      <c r="D90" s="45">
        <f>B90/B89-1</f>
        <v/>
      </c>
      <c r="E90" s="45">
        <f>C90/C89-1</f>
        <v/>
      </c>
      <c r="F90" s="35" t="n"/>
      <c r="G90" s="35" t="n"/>
      <c r="H90" s="33" t="n"/>
      <c r="I90" s="33" t="n"/>
      <c r="J90" s="33" t="n"/>
      <c r="K90" s="33" t="n"/>
      <c r="L90" s="33" t="n"/>
    </row>
    <row r="91">
      <c r="A91" s="36" t="inlineStr">
        <is>
          <t>2025-06-18</t>
        </is>
      </c>
      <c r="B91" s="76" t="n">
        <v>46.61999893188477</v>
      </c>
      <c r="C91" s="77" t="n">
        <v>5980.8701171875</v>
      </c>
      <c r="D91" s="45">
        <f>B91/B90-1</f>
        <v/>
      </c>
      <c r="E91" s="45">
        <f>C91/C90-1</f>
        <v/>
      </c>
      <c r="F91" s="35" t="n"/>
      <c r="G91" s="35" t="n"/>
      <c r="H91" s="33" t="n"/>
      <c r="I91" s="33" t="n"/>
      <c r="J91" s="33" t="n"/>
      <c r="K91" s="33" t="n"/>
      <c r="L91" s="33" t="n"/>
    </row>
    <row r="92">
      <c r="A92" s="36" t="inlineStr">
        <is>
          <t>2025-06-20</t>
        </is>
      </c>
      <c r="B92" s="76" t="n">
        <v>46.58000183105469</v>
      </c>
      <c r="C92" s="77" t="n">
        <v>5967.83984375</v>
      </c>
      <c r="D92" s="45">
        <f>B92/B91-1</f>
        <v/>
      </c>
      <c r="E92" s="45">
        <f>C92/C91-1</f>
        <v/>
      </c>
      <c r="F92" s="35" t="n"/>
      <c r="G92" s="35" t="n"/>
      <c r="H92" s="33" t="n"/>
      <c r="I92" s="33" t="n"/>
      <c r="J92" s="33" t="n"/>
      <c r="K92" s="33" t="n"/>
      <c r="L92" s="33" t="n"/>
    </row>
    <row r="93">
      <c r="A93" s="36" t="inlineStr">
        <is>
          <t>2025-06-23</t>
        </is>
      </c>
      <c r="B93" s="76" t="n">
        <v>46.95000076293945</v>
      </c>
      <c r="C93" s="77" t="n">
        <v>6025.169921875</v>
      </c>
      <c r="D93" s="45">
        <f>B93/B92-1</f>
        <v/>
      </c>
      <c r="E93" s="45">
        <f>C93/C92-1</f>
        <v/>
      </c>
      <c r="F93" s="35" t="n"/>
      <c r="G93" s="35" t="n"/>
      <c r="H93" s="33" t="n"/>
      <c r="I93" s="33" t="n"/>
      <c r="J93" s="33" t="n"/>
      <c r="K93" s="33" t="n"/>
      <c r="L93" s="33" t="n"/>
    </row>
    <row r="94">
      <c r="A94" s="36" t="inlineStr">
        <is>
          <t>2025-06-24</t>
        </is>
      </c>
      <c r="B94" s="76" t="n">
        <v>47.34000015258789</v>
      </c>
      <c r="C94" s="77" t="n">
        <v>6092.18017578125</v>
      </c>
      <c r="D94" s="45">
        <f>B94/B93-1</f>
        <v/>
      </c>
      <c r="E94" s="45">
        <f>C94/C93-1</f>
        <v/>
      </c>
      <c r="F94" s="35" t="n"/>
      <c r="G94" s="35" t="n"/>
      <c r="H94" s="33" t="n"/>
      <c r="I94" s="33" t="n"/>
      <c r="J94" s="33" t="n"/>
      <c r="K94" s="33" t="n"/>
      <c r="L94" s="33" t="n"/>
    </row>
    <row r="95">
      <c r="A95" s="36" t="inlineStr">
        <is>
          <t>2025-06-25</t>
        </is>
      </c>
      <c r="B95" s="76" t="n">
        <v>47.25</v>
      </c>
      <c r="C95" s="77" t="n">
        <v>6092.16015625</v>
      </c>
      <c r="D95" s="45">
        <f>B95/B94-1</f>
        <v/>
      </c>
      <c r="E95" s="45">
        <f>C95/C94-1</f>
        <v/>
      </c>
      <c r="F95" s="35" t="n"/>
      <c r="G95" s="35" t="n"/>
      <c r="H95" s="33" t="n"/>
      <c r="I95" s="33" t="n"/>
      <c r="J95" s="33" t="n"/>
      <c r="K95" s="33" t="n"/>
      <c r="L95" s="33" t="n"/>
    </row>
    <row r="96">
      <c r="A96" s="36" t="inlineStr">
        <is>
          <t>2025-06-26</t>
        </is>
      </c>
      <c r="B96" s="76" t="n">
        <v>47.43999862670898</v>
      </c>
      <c r="C96" s="77" t="n">
        <v>6141.02001953125</v>
      </c>
      <c r="D96" s="45">
        <f>B96/B95-1</f>
        <v/>
      </c>
      <c r="E96" s="45">
        <f>C96/C95-1</f>
        <v/>
      </c>
      <c r="F96" s="35" t="n"/>
      <c r="G96" s="35" t="n"/>
      <c r="H96" s="33" t="n"/>
      <c r="I96" s="33" t="n"/>
      <c r="J96" s="33" t="n"/>
      <c r="K96" s="33" t="n"/>
      <c r="L96" s="33" t="n"/>
    </row>
    <row r="97">
      <c r="A97" s="36" t="inlineStr">
        <is>
          <t>2025-06-27</t>
        </is>
      </c>
      <c r="B97" s="76" t="n">
        <v>47.15000152587891</v>
      </c>
      <c r="C97" s="77" t="n">
        <v>6173.06982421875</v>
      </c>
      <c r="D97" s="45">
        <f>B97/B96-1</f>
        <v/>
      </c>
      <c r="E97" s="45">
        <f>C97/C96-1</f>
        <v/>
      </c>
      <c r="F97" s="35" t="n"/>
      <c r="G97" s="35" t="n"/>
      <c r="H97" s="33" t="n"/>
      <c r="I97" s="33" t="n"/>
      <c r="J97" s="33" t="n"/>
      <c r="K97" s="33" t="n"/>
      <c r="L97" s="33" t="n"/>
    </row>
    <row r="98">
      <c r="A98" s="36" t="inlineStr">
        <is>
          <t>2025-06-30</t>
        </is>
      </c>
      <c r="B98" s="76" t="n">
        <v>45.34999847412109</v>
      </c>
      <c r="C98" s="77" t="n">
        <v>6204.9501953125</v>
      </c>
      <c r="D98" s="45">
        <f>B98/B97-1</f>
        <v/>
      </c>
      <c r="E98" s="45">
        <f>C98/C97-1</f>
        <v/>
      </c>
      <c r="F98" s="35" t="n"/>
      <c r="G98" s="35" t="n"/>
      <c r="H98" s="33" t="n"/>
      <c r="I98" s="33" t="n"/>
      <c r="J98" s="33" t="n"/>
      <c r="K98" s="33" t="n"/>
      <c r="L98" s="33" t="n"/>
    </row>
    <row r="99">
      <c r="A99" s="36" t="inlineStr">
        <is>
          <t>2025-07-01</t>
        </is>
      </c>
      <c r="B99" s="76" t="n">
        <v>44.95999908447266</v>
      </c>
      <c r="C99" s="77" t="n">
        <v>6198.009765625</v>
      </c>
      <c r="D99" s="45">
        <f>B99/B98-1</f>
        <v/>
      </c>
      <c r="E99" s="45">
        <f>C99/C98-1</f>
        <v/>
      </c>
      <c r="F99" s="35" t="n"/>
      <c r="G99" s="35" t="n"/>
      <c r="H99" s="33" t="n"/>
      <c r="I99" s="33" t="n"/>
      <c r="J99" s="33" t="n"/>
      <c r="K99" s="33" t="n"/>
      <c r="L99" s="33" t="n"/>
    </row>
    <row r="100">
      <c r="A100" s="36" t="inlineStr">
        <is>
          <t>2025-07-02</t>
        </is>
      </c>
      <c r="B100" s="76" t="n">
        <v>46.20999908447266</v>
      </c>
      <c r="C100" s="77" t="n">
        <v>6227.419921875</v>
      </c>
      <c r="D100" s="45">
        <f>B100/B99-1</f>
        <v/>
      </c>
      <c r="E100" s="45">
        <f>C100/C99-1</f>
        <v/>
      </c>
      <c r="F100" s="35" t="n"/>
      <c r="G100" s="35" t="n"/>
      <c r="H100" s="33" t="n"/>
      <c r="I100" s="33" t="n"/>
      <c r="J100" s="33" t="n"/>
      <c r="K100" s="33" t="n"/>
      <c r="L100" s="33" t="n"/>
    </row>
    <row r="101">
      <c r="A101" s="36" t="inlineStr">
        <is>
          <t>2025-07-03</t>
        </is>
      </c>
      <c r="B101" s="76" t="n">
        <v>46.40999984741211</v>
      </c>
      <c r="C101" s="77" t="n">
        <v>6279.35009765625</v>
      </c>
      <c r="D101" s="45">
        <f>B101/B100-1</f>
        <v/>
      </c>
      <c r="E101" s="45">
        <f>C101/C100-1</f>
        <v/>
      </c>
      <c r="F101" s="35" t="n"/>
      <c r="G101" s="35" t="n"/>
      <c r="H101" s="33" t="n"/>
      <c r="I101" s="33" t="n"/>
      <c r="J101" s="33" t="n"/>
      <c r="K101" s="33" t="n"/>
      <c r="L101" s="33" t="n"/>
    </row>
    <row r="102">
      <c r="A102" s="36" t="inlineStr">
        <is>
          <t>2025-07-07</t>
        </is>
      </c>
      <c r="B102" s="76" t="n">
        <v>45.22000122070312</v>
      </c>
      <c r="C102" s="77" t="n">
        <v>6229.97998046875</v>
      </c>
      <c r="D102" s="45">
        <f>B102/B101-1</f>
        <v/>
      </c>
      <c r="E102" s="45">
        <f>C102/C101-1</f>
        <v/>
      </c>
      <c r="F102" s="35" t="n"/>
      <c r="G102" s="35" t="n"/>
      <c r="H102" s="33" t="n"/>
      <c r="I102" s="33" t="n"/>
      <c r="J102" s="33" t="n"/>
      <c r="K102" s="33" t="n"/>
      <c r="L102" s="33" t="n"/>
    </row>
    <row r="103">
      <c r="A103" s="36" t="inlineStr">
        <is>
          <t>2025-07-08</t>
        </is>
      </c>
      <c r="B103" s="76" t="n">
        <v>46.16999816894531</v>
      </c>
      <c r="C103" s="77" t="n">
        <v>6225.52001953125</v>
      </c>
      <c r="D103" s="45">
        <f>B103/B102-1</f>
        <v/>
      </c>
      <c r="E103" s="45">
        <f>C103/C102-1</f>
        <v/>
      </c>
      <c r="F103" s="35" t="n"/>
      <c r="G103" s="35" t="n"/>
      <c r="H103" s="33" t="n"/>
      <c r="I103" s="33" t="n"/>
      <c r="J103" s="33" t="n"/>
      <c r="K103" s="33" t="n"/>
      <c r="L103" s="33" t="n"/>
    </row>
    <row r="104">
      <c r="A104" s="36" t="inlineStr">
        <is>
          <t>2025-07-09</t>
        </is>
      </c>
      <c r="B104" s="76" t="n">
        <v>46.20000076293945</v>
      </c>
      <c r="C104" s="77" t="n">
        <v>6263.259765625</v>
      </c>
      <c r="D104" s="45">
        <f>B104/B103-1</f>
        <v/>
      </c>
      <c r="E104" s="45">
        <f>C104/C103-1</f>
        <v/>
      </c>
      <c r="F104" s="35" t="n"/>
      <c r="G104" s="35" t="n"/>
      <c r="H104" s="33" t="n"/>
      <c r="I104" s="33" t="n"/>
      <c r="J104" s="33" t="n"/>
      <c r="K104" s="33" t="n"/>
      <c r="L104" s="33" t="n"/>
    </row>
    <row r="105">
      <c r="A105" s="36" t="inlineStr">
        <is>
          <t>2025-07-10</t>
        </is>
      </c>
      <c r="B105" s="76" t="n">
        <v>46.95000076293945</v>
      </c>
      <c r="C105" s="77" t="n">
        <v>6280.4599609375</v>
      </c>
      <c r="D105" s="45">
        <f>B105/B104-1</f>
        <v/>
      </c>
      <c r="E105" s="45">
        <f>C105/C104-1</f>
        <v/>
      </c>
      <c r="F105" s="35" t="n"/>
      <c r="G105" s="35" t="n"/>
      <c r="H105" s="33" t="n"/>
      <c r="I105" s="33" t="n"/>
      <c r="J105" s="33" t="n"/>
      <c r="K105" s="33" t="n"/>
      <c r="L105" s="33" t="n"/>
    </row>
    <row r="106">
      <c r="A106" s="36" t="inlineStr">
        <is>
          <t>2025-07-11</t>
        </is>
      </c>
      <c r="B106" s="76" t="n">
        <v>46.09000015258789</v>
      </c>
      <c r="C106" s="77" t="n">
        <v>6259.75</v>
      </c>
      <c r="D106" s="45">
        <f>B106/B105-1</f>
        <v/>
      </c>
      <c r="E106" s="45">
        <f>C106/C105-1</f>
        <v/>
      </c>
      <c r="F106" s="35" t="n"/>
      <c r="G106" s="35" t="n"/>
      <c r="H106" s="33" t="n"/>
      <c r="I106" s="33" t="n"/>
      <c r="J106" s="33" t="n"/>
      <c r="K106" s="33" t="n"/>
      <c r="L106" s="33" t="n"/>
    </row>
    <row r="107">
      <c r="A107" s="36" t="inlineStr">
        <is>
          <t>2025-07-14</t>
        </is>
      </c>
      <c r="B107" s="76" t="n">
        <v>42.47999954223633</v>
      </c>
      <c r="C107" s="77" t="n">
        <v>6268.56005859375</v>
      </c>
      <c r="D107" s="45">
        <f>B107/B106-1</f>
        <v/>
      </c>
      <c r="E107" s="45">
        <f>C107/C106-1</f>
        <v/>
      </c>
      <c r="F107" s="35" t="n"/>
      <c r="G107" s="35" t="n"/>
      <c r="H107" s="33" t="n"/>
      <c r="I107" s="33" t="n"/>
      <c r="J107" s="33" t="n"/>
      <c r="K107" s="33" t="n"/>
      <c r="L107" s="33" t="n"/>
    </row>
    <row r="108">
      <c r="A108" s="36" t="inlineStr">
        <is>
          <t>2025-07-15</t>
        </is>
      </c>
      <c r="B108" s="76" t="n">
        <v>42.72000122070312</v>
      </c>
      <c r="C108" s="77" t="n">
        <v>6243.759765625</v>
      </c>
      <c r="D108" s="45">
        <f>B108/B107-1</f>
        <v/>
      </c>
      <c r="E108" s="45">
        <f>C108/C107-1</f>
        <v/>
      </c>
      <c r="F108" s="35" t="n"/>
      <c r="G108" s="35" t="n"/>
      <c r="H108" s="33" t="n"/>
      <c r="I108" s="33" t="n"/>
      <c r="J108" s="33" t="n"/>
      <c r="K108" s="33" t="n"/>
      <c r="L108" s="33" t="n"/>
    </row>
    <row r="109">
      <c r="A109" s="36" t="inlineStr">
        <is>
          <t>2025-07-16</t>
        </is>
      </c>
      <c r="B109" s="76" t="n">
        <v>41.36000061035156</v>
      </c>
      <c r="C109" s="77" t="n">
        <v>6263.7001953125</v>
      </c>
      <c r="D109" s="45">
        <f>B109/B108-1</f>
        <v/>
      </c>
      <c r="E109" s="45">
        <f>C109/C108-1</f>
        <v/>
      </c>
      <c r="F109" s="35" t="n"/>
      <c r="G109" s="35" t="n"/>
      <c r="H109" s="33" t="n"/>
      <c r="I109" s="33" t="n"/>
      <c r="J109" s="33" t="n"/>
      <c r="K109" s="33" t="n"/>
      <c r="L109" s="33" t="n"/>
    </row>
    <row r="110">
      <c r="A110" s="36" t="inlineStr">
        <is>
          <t>2025-07-17</t>
        </is>
      </c>
      <c r="B110" s="76" t="n">
        <v>41.52000045776367</v>
      </c>
      <c r="C110" s="77" t="n">
        <v>6297.35986328125</v>
      </c>
      <c r="D110" s="45">
        <f>B110/B109-1</f>
        <v/>
      </c>
      <c r="E110" s="45">
        <f>C110/C109-1</f>
        <v/>
      </c>
      <c r="F110" s="35" t="n"/>
      <c r="G110" s="35" t="n"/>
      <c r="H110" s="33" t="n"/>
      <c r="I110" s="33" t="n"/>
      <c r="J110" s="33" t="n"/>
      <c r="K110" s="33" t="n"/>
      <c r="L110" s="33" t="n"/>
    </row>
    <row r="111">
      <c r="A111" s="36" t="inlineStr">
        <is>
          <t>2025-07-18</t>
        </is>
      </c>
      <c r="B111" s="76" t="n">
        <v>42.18999862670898</v>
      </c>
      <c r="C111" s="77" t="n">
        <v>6296.7900390625</v>
      </c>
      <c r="D111" s="45">
        <f>B111/B110-1</f>
        <v/>
      </c>
      <c r="E111" s="45">
        <f>C111/C110-1</f>
        <v/>
      </c>
      <c r="F111" s="35" t="n"/>
      <c r="G111" s="35" t="n"/>
      <c r="H111" s="33" t="n"/>
      <c r="I111" s="33" t="n"/>
      <c r="J111" s="33" t="n"/>
      <c r="K111" s="33" t="n"/>
      <c r="L111" s="33" t="n"/>
    </row>
    <row r="112">
      <c r="A112" s="36" t="inlineStr">
        <is>
          <t>2025-07-21</t>
        </is>
      </c>
      <c r="B112" s="76" t="n">
        <v>41.61000061035156</v>
      </c>
      <c r="C112" s="77" t="n">
        <v>6305.60009765625</v>
      </c>
      <c r="D112" s="45">
        <f>B112/B111-1</f>
        <v/>
      </c>
      <c r="E112" s="45">
        <f>C112/C111-1</f>
        <v/>
      </c>
      <c r="F112" s="35" t="n"/>
      <c r="G112" s="35" t="n"/>
      <c r="H112" s="33" t="n"/>
      <c r="I112" s="33" t="n"/>
      <c r="J112" s="33" t="n"/>
      <c r="K112" s="33" t="n"/>
      <c r="L112" s="33" t="n"/>
    </row>
    <row r="113">
      <c r="A113" s="36" t="inlineStr">
        <is>
          <t>2025-07-22</t>
        </is>
      </c>
      <c r="B113" s="76" t="n">
        <v>41.36000061035156</v>
      </c>
      <c r="C113" s="77" t="n">
        <v>6309.6201171875</v>
      </c>
      <c r="D113" s="45">
        <f>B113/B112-1</f>
        <v/>
      </c>
      <c r="E113" s="45">
        <f>C113/C112-1</f>
        <v/>
      </c>
      <c r="F113" s="35" t="n"/>
      <c r="G113" s="35" t="n"/>
      <c r="H113" s="33" t="n"/>
      <c r="I113" s="33" t="n"/>
      <c r="J113" s="33" t="n"/>
      <c r="K113" s="33" t="n"/>
      <c r="L113" s="33" t="n"/>
    </row>
    <row r="114">
      <c r="A114" s="36" t="inlineStr">
        <is>
          <t>2025-07-23</t>
        </is>
      </c>
      <c r="B114" s="76" t="n">
        <v>43</v>
      </c>
      <c r="C114" s="77" t="n">
        <v>6358.91015625</v>
      </c>
      <c r="D114" s="45">
        <f>B114/B113-1</f>
        <v/>
      </c>
      <c r="E114" s="45">
        <f>C114/C113-1</f>
        <v/>
      </c>
      <c r="F114" s="35" t="n"/>
      <c r="G114" s="35" t="n"/>
      <c r="H114" s="33" t="n"/>
      <c r="I114" s="33" t="n"/>
      <c r="J114" s="33" t="n"/>
      <c r="K114" s="33" t="n"/>
      <c r="L114" s="33" t="n"/>
    </row>
    <row r="115">
      <c r="A115" s="36" t="inlineStr">
        <is>
          <t>2025-07-24</t>
        </is>
      </c>
      <c r="B115" s="76" t="n">
        <v>42.06000137329102</v>
      </c>
      <c r="C115" s="77" t="n">
        <v>6363.35009765625</v>
      </c>
      <c r="D115" s="45">
        <f>B115/B114-1</f>
        <v/>
      </c>
      <c r="E115" s="45">
        <f>C115/C114-1</f>
        <v/>
      </c>
      <c r="F115" s="35" t="n"/>
      <c r="G115" s="35" t="n"/>
      <c r="H115" s="33" t="n"/>
      <c r="I115" s="33" t="n"/>
      <c r="J115" s="33" t="n"/>
      <c r="K115" s="33" t="n"/>
      <c r="L115" s="33" t="n"/>
    </row>
    <row r="116">
      <c r="A116" s="36" t="inlineStr">
        <is>
          <t>2025-07-25</t>
        </is>
      </c>
      <c r="B116" s="76" t="n">
        <v>42.47999954223633</v>
      </c>
      <c r="C116" s="77" t="n">
        <v>6388.64013671875</v>
      </c>
      <c r="D116" s="45">
        <f>B116/B115-1</f>
        <v/>
      </c>
      <c r="E116" s="45">
        <f>C116/C115-1</f>
        <v/>
      </c>
      <c r="F116" s="35" t="n"/>
      <c r="G116" s="35" t="n"/>
      <c r="H116" s="33" t="n"/>
      <c r="I116" s="33" t="n"/>
      <c r="J116" s="33" t="n"/>
      <c r="K116" s="33" t="n"/>
      <c r="L116" s="33" t="n"/>
    </row>
    <row r="117">
      <c r="A117" s="36" t="inlineStr">
        <is>
          <t>2025-07-28</t>
        </is>
      </c>
      <c r="B117" s="76" t="n">
        <v>41.88999938964844</v>
      </c>
      <c r="C117" s="77" t="n">
        <v>6389.77001953125</v>
      </c>
      <c r="D117" s="45">
        <f>B117/B116-1</f>
        <v/>
      </c>
      <c r="E117" s="45">
        <f>C117/C116-1</f>
        <v/>
      </c>
      <c r="F117" s="35" t="n"/>
      <c r="G117" s="35" t="n"/>
      <c r="H117" s="33" t="n"/>
      <c r="I117" s="33" t="n"/>
      <c r="J117" s="33" t="n"/>
      <c r="K117" s="33" t="n"/>
      <c r="L117" s="33" t="n"/>
    </row>
    <row r="118">
      <c r="A118" s="36" t="inlineStr">
        <is>
          <t>2025-07-29</t>
        </is>
      </c>
      <c r="B118" s="76" t="n">
        <v>42.93000030517578</v>
      </c>
      <c r="C118" s="77" t="n">
        <v>6370.85986328125</v>
      </c>
      <c r="D118" s="45">
        <f>B118/B117-1</f>
        <v/>
      </c>
      <c r="E118" s="45">
        <f>C118/C117-1</f>
        <v/>
      </c>
      <c r="F118" s="35" t="n"/>
      <c r="G118" s="35" t="n"/>
      <c r="H118" s="33" t="n"/>
      <c r="I118" s="33" t="n"/>
      <c r="J118" s="33" t="n"/>
      <c r="K118" s="33" t="n"/>
      <c r="L118" s="33" t="n"/>
    </row>
    <row r="119">
      <c r="A119" s="36" t="inlineStr">
        <is>
          <t>2025-07-30</t>
        </is>
      </c>
      <c r="B119" s="76" t="n">
        <v>43.38999938964844</v>
      </c>
      <c r="C119" s="77" t="n">
        <v>6362.89990234375</v>
      </c>
      <c r="D119" s="45">
        <f>B119/B118-1</f>
        <v/>
      </c>
      <c r="E119" s="45">
        <f>C119/C118-1</f>
        <v/>
      </c>
      <c r="F119" s="35" t="n"/>
      <c r="G119" s="35" t="n"/>
      <c r="H119" s="33" t="n"/>
      <c r="I119" s="33" t="n"/>
      <c r="J119" s="33" t="n"/>
      <c r="K119" s="33" t="n"/>
      <c r="L119" s="33" t="n"/>
    </row>
    <row r="120">
      <c r="A120" s="36" t="inlineStr">
        <is>
          <t>2025-07-31</t>
        </is>
      </c>
      <c r="B120" s="76" t="n">
        <v>42.91999816894531</v>
      </c>
      <c r="C120" s="77" t="n">
        <v>6339.39013671875</v>
      </c>
      <c r="D120" s="45">
        <f>B120/B119-1</f>
        <v/>
      </c>
      <c r="E120" s="45">
        <f>C120/C119-1</f>
        <v/>
      </c>
      <c r="F120" s="35" t="n"/>
      <c r="G120" s="35" t="n"/>
      <c r="H120" s="33" t="n"/>
      <c r="I120" s="33" t="n"/>
      <c r="J120" s="33" t="n"/>
      <c r="K120" s="33" t="n"/>
      <c r="L120" s="33" t="n"/>
    </row>
    <row r="121">
      <c r="A121" s="36" t="inlineStr">
        <is>
          <t>2025-08-01</t>
        </is>
      </c>
      <c r="B121" s="76" t="n">
        <v>41.33000183105469</v>
      </c>
      <c r="C121" s="77" t="n">
        <v>6238.009765625</v>
      </c>
      <c r="D121" s="45">
        <f>B121/B120-1</f>
        <v/>
      </c>
      <c r="E121" s="45">
        <f>C121/C120-1</f>
        <v/>
      </c>
      <c r="F121" s="35" t="n"/>
      <c r="G121" s="35" t="n"/>
      <c r="H121" s="33" t="n"/>
      <c r="I121" s="33" t="n"/>
      <c r="J121" s="33" t="n"/>
      <c r="K121" s="33" t="n"/>
      <c r="L121" s="33" t="n"/>
    </row>
    <row r="122">
      <c r="A122" s="36" t="inlineStr">
        <is>
          <t>2025-08-04</t>
        </is>
      </c>
      <c r="B122" s="76" t="n">
        <v>42.5099983215332</v>
      </c>
      <c r="C122" s="77" t="n">
        <v>6329.93994140625</v>
      </c>
      <c r="D122" s="45">
        <f>B122/B121-1</f>
        <v/>
      </c>
      <c r="E122" s="45">
        <f>C122/C121-1</f>
        <v/>
      </c>
      <c r="F122" s="35" t="n"/>
      <c r="G122" s="35" t="n"/>
      <c r="H122" s="33" t="n"/>
      <c r="I122" s="33" t="n"/>
      <c r="J122" s="33" t="n"/>
      <c r="K122" s="33" t="n"/>
      <c r="L122" s="33" t="n"/>
    </row>
    <row r="123">
      <c r="A123" s="36" t="inlineStr">
        <is>
          <t>2025-08-05</t>
        </is>
      </c>
      <c r="B123" s="76" t="n">
        <v>41.93000030517578</v>
      </c>
      <c r="C123" s="77" t="n">
        <v>6299.18994140625</v>
      </c>
      <c r="D123" s="45">
        <f>B123/B122-1</f>
        <v/>
      </c>
      <c r="E123" s="45">
        <f>C123/C122-1</f>
        <v/>
      </c>
      <c r="F123" s="35" t="n"/>
      <c r="G123" s="35" t="n"/>
      <c r="H123" s="33" t="n"/>
      <c r="I123" s="33" t="n"/>
      <c r="J123" s="33" t="n"/>
      <c r="K123" s="33" t="n"/>
      <c r="L123" s="33" t="n"/>
    </row>
    <row r="124">
      <c r="A124" s="36" t="inlineStr">
        <is>
          <t>2025-08-06</t>
        </is>
      </c>
      <c r="B124" s="76" t="n">
        <v>42.09999847412109</v>
      </c>
      <c r="C124" s="77" t="n">
        <v>6345.06005859375</v>
      </c>
      <c r="D124" s="45">
        <f>B124/B123-1</f>
        <v/>
      </c>
      <c r="E124" s="45">
        <f>C124/C123-1</f>
        <v/>
      </c>
      <c r="F124" s="35" t="n"/>
      <c r="G124" s="35" t="n"/>
      <c r="H124" s="33" t="n"/>
      <c r="I124" s="33" t="n"/>
      <c r="J124" s="33" t="n"/>
      <c r="K124" s="33" t="n"/>
      <c r="L124" s="33" t="n"/>
    </row>
    <row r="125">
      <c r="A125" s="36" t="inlineStr">
        <is>
          <t>2025-08-07</t>
        </is>
      </c>
      <c r="B125" s="76" t="n">
        <v>40.68999862670898</v>
      </c>
      <c r="C125" s="77" t="n">
        <v>6340</v>
      </c>
      <c r="D125" s="45">
        <f>B125/B124-1</f>
        <v/>
      </c>
      <c r="E125" s="45">
        <f>C125/C124-1</f>
        <v/>
      </c>
      <c r="F125" s="35" t="n"/>
      <c r="G125" s="35" t="n"/>
      <c r="H125" s="33" t="n"/>
      <c r="I125" s="33" t="n"/>
      <c r="J125" s="33" t="n"/>
      <c r="K125" s="33" t="n"/>
      <c r="L125" s="33" t="n"/>
    </row>
    <row r="126">
      <c r="A126" s="36" t="inlineStr">
        <is>
          <t>2025-08-08</t>
        </is>
      </c>
      <c r="B126" s="76" t="n">
        <v>44.34000015258789</v>
      </c>
      <c r="C126" s="77" t="n">
        <v>6389.4501953125</v>
      </c>
      <c r="D126" s="45">
        <f>B126/B125-1</f>
        <v/>
      </c>
      <c r="E126" s="45">
        <f>C126/C125-1</f>
        <v/>
      </c>
      <c r="F126" s="35" t="n"/>
      <c r="G126" s="35" t="n"/>
      <c r="H126" s="33" t="n"/>
      <c r="I126" s="33" t="n"/>
      <c r="J126" s="33" t="n"/>
      <c r="K126" s="33" t="n"/>
      <c r="L126" s="33" t="n"/>
    </row>
    <row r="127">
      <c r="A127" s="36" t="inlineStr">
        <is>
          <t>2025-08-11</t>
        </is>
      </c>
      <c r="B127" s="76" t="n">
        <v>43.36999893188477</v>
      </c>
      <c r="C127" s="77" t="n">
        <v>6373.4501953125</v>
      </c>
      <c r="D127" s="45">
        <f>B127/B126-1</f>
        <v/>
      </c>
      <c r="E127" s="45">
        <f>C127/C126-1</f>
        <v/>
      </c>
      <c r="F127" s="35" t="n"/>
      <c r="G127" s="35" t="n"/>
      <c r="H127" s="33" t="n"/>
      <c r="I127" s="33" t="n"/>
      <c r="J127" s="33" t="n"/>
      <c r="K127" s="33" t="n"/>
      <c r="L127" s="33" t="n"/>
    </row>
    <row r="128">
      <c r="A128" s="36" t="inlineStr">
        <is>
          <t>2025-08-12</t>
        </is>
      </c>
      <c r="B128" s="76" t="n">
        <v>46.83000183105469</v>
      </c>
      <c r="C128" s="77" t="n">
        <v>6445.759765625</v>
      </c>
      <c r="D128" s="45">
        <f>B128/B127-1</f>
        <v/>
      </c>
      <c r="E128" s="45">
        <f>C128/C127-1</f>
        <v/>
      </c>
      <c r="F128" s="35" t="n"/>
      <c r="G128" s="35" t="n"/>
      <c r="H128" s="33" t="n"/>
      <c r="I128" s="33" t="n"/>
      <c r="J128" s="33" t="n"/>
      <c r="K128" s="33" t="n"/>
      <c r="L128" s="33" t="n"/>
    </row>
    <row r="129">
      <c r="A129" s="36" t="inlineStr">
        <is>
          <t>2025-08-13</t>
        </is>
      </c>
      <c r="B129" s="76" t="n">
        <v>47.0099983215332</v>
      </c>
      <c r="C129" s="77" t="n">
        <v>6466.580078125</v>
      </c>
      <c r="D129" s="45">
        <f>B129/B128-1</f>
        <v/>
      </c>
      <c r="E129" s="45">
        <f>C129/C128-1</f>
        <v/>
      </c>
      <c r="F129" s="35" t="n"/>
      <c r="G129" s="35" t="n"/>
      <c r="H129" s="33" t="n"/>
      <c r="I129" s="33" t="n"/>
      <c r="J129" s="33" t="n"/>
      <c r="K129" s="33" t="n"/>
      <c r="L129" s="33" t="n"/>
    </row>
    <row r="130">
      <c r="A130" s="36" t="inlineStr">
        <is>
          <t>2025-08-14</t>
        </is>
      </c>
      <c r="B130" s="76" t="n">
        <v>46.68000030517578</v>
      </c>
      <c r="C130" s="77" t="n">
        <v>6468.5400390625</v>
      </c>
      <c r="D130" s="45">
        <f>B130/B129-1</f>
        <v/>
      </c>
      <c r="E130" s="45">
        <f>C130/C129-1</f>
        <v/>
      </c>
      <c r="F130" s="35" t="n"/>
      <c r="G130" s="35" t="n"/>
      <c r="H130" s="33" t="n"/>
      <c r="I130" s="33" t="n"/>
      <c r="J130" s="33" t="n"/>
      <c r="K130" s="33" t="n"/>
      <c r="L130" s="33" t="n"/>
    </row>
    <row r="131">
      <c r="A131" s="36" t="inlineStr">
        <is>
          <t>2025-08-15</t>
        </is>
      </c>
      <c r="B131" s="76" t="n">
        <v>44.54000091552734</v>
      </c>
      <c r="C131" s="77" t="n">
        <v>6449.7998046875</v>
      </c>
      <c r="D131" s="45">
        <f>B131/B130-1</f>
        <v/>
      </c>
      <c r="E131" s="45">
        <f>C131/C130-1</f>
        <v/>
      </c>
      <c r="F131" s="35" t="n"/>
      <c r="G131" s="35" t="n"/>
      <c r="H131" s="33" t="n"/>
      <c r="I131" s="33" t="n"/>
      <c r="J131" s="33" t="n"/>
      <c r="K131" s="33" t="n"/>
      <c r="L131" s="33" t="n"/>
    </row>
    <row r="132">
      <c r="A132" s="36" t="inlineStr">
        <is>
          <t>2025-08-18</t>
        </is>
      </c>
      <c r="B132" s="76" t="n">
        <v>45.52000045776367</v>
      </c>
      <c r="C132" s="77" t="n">
        <v>6449.14990234375</v>
      </c>
      <c r="D132" s="45">
        <f>B132/B131-1</f>
        <v/>
      </c>
      <c r="E132" s="45">
        <f>C132/C131-1</f>
        <v/>
      </c>
      <c r="F132" s="35" t="n"/>
      <c r="G132" s="35" t="n"/>
      <c r="H132" s="33" t="n"/>
      <c r="I132" s="33" t="n"/>
      <c r="J132" s="33" t="n"/>
      <c r="K132" s="33" t="n"/>
      <c r="L132" s="33" t="n"/>
    </row>
    <row r="133">
      <c r="A133" s="36" t="inlineStr">
        <is>
          <t>2025-08-19</t>
        </is>
      </c>
      <c r="B133" s="76" t="n">
        <v>44.58000183105469</v>
      </c>
      <c r="C133" s="77" t="n">
        <v>6411.3701171875</v>
      </c>
      <c r="D133" s="45">
        <f>B133/B132-1</f>
        <v/>
      </c>
      <c r="E133" s="45">
        <f>C133/C132-1</f>
        <v/>
      </c>
      <c r="F133" s="35" t="n"/>
      <c r="G133" s="35" t="n"/>
      <c r="H133" s="33" t="n"/>
      <c r="I133" s="33" t="n"/>
      <c r="J133" s="33" t="n"/>
      <c r="K133" s="33" t="n"/>
      <c r="L133" s="33" t="n"/>
    </row>
    <row r="134">
      <c r="A134" s="36" t="inlineStr">
        <is>
          <t>2025-08-20</t>
        </is>
      </c>
      <c r="B134" s="76" t="n">
        <v>44.40000152587891</v>
      </c>
      <c r="C134" s="77" t="n">
        <v>6395.77978515625</v>
      </c>
      <c r="D134" s="45">
        <f>B134/B133-1</f>
        <v/>
      </c>
      <c r="E134" s="45">
        <f>C134/C133-1</f>
        <v/>
      </c>
      <c r="F134" s="35" t="n"/>
      <c r="G134" s="35" t="n"/>
      <c r="H134" s="33" t="n"/>
      <c r="I134" s="33" t="n"/>
      <c r="J134" s="33" t="n"/>
      <c r="K134" s="33" t="n"/>
      <c r="L134" s="33" t="n"/>
    </row>
    <row r="135">
      <c r="A135" s="36" t="inlineStr">
        <is>
          <t>2025-08-21</t>
        </is>
      </c>
      <c r="B135" s="76" t="n">
        <v>45.5</v>
      </c>
      <c r="C135" s="77" t="n">
        <v>6370.169921875</v>
      </c>
      <c r="D135" s="45">
        <f>B135/B134-1</f>
        <v/>
      </c>
      <c r="E135" s="45">
        <f>C135/C134-1</f>
        <v/>
      </c>
      <c r="F135" s="35" t="n"/>
      <c r="G135" s="35" t="n"/>
      <c r="H135" s="33" t="n"/>
      <c r="I135" s="33" t="n"/>
      <c r="J135" s="33" t="n"/>
      <c r="K135" s="33" t="n"/>
      <c r="L135" s="33" t="n"/>
    </row>
    <row r="136">
      <c r="A136" s="36" t="inlineStr">
        <is>
          <t>2025-08-22</t>
        </is>
      </c>
      <c r="B136" s="76" t="n">
        <v>46.36999893188477</v>
      </c>
      <c r="C136" s="77" t="n">
        <v>6466.91015625</v>
      </c>
      <c r="D136" s="45">
        <f>B136/B135-1</f>
        <v/>
      </c>
      <c r="E136" s="45">
        <f>C136/C135-1</f>
        <v/>
      </c>
      <c r="F136" s="35" t="n"/>
      <c r="G136" s="35" t="n"/>
      <c r="H136" s="33" t="n"/>
      <c r="I136" s="33" t="n"/>
      <c r="J136" s="33" t="n"/>
      <c r="K136" s="33" t="n"/>
      <c r="L136" s="33" t="n"/>
    </row>
    <row r="137">
      <c r="A137" s="36" t="inlineStr">
        <is>
          <t>2025-08-25</t>
        </is>
      </c>
      <c r="B137" s="76" t="n">
        <v>46.77999877929688</v>
      </c>
      <c r="C137" s="77" t="n">
        <v>6439.31982421875</v>
      </c>
      <c r="D137" s="45">
        <f>B137/B136-1</f>
        <v/>
      </c>
      <c r="E137" s="45">
        <f>C137/C136-1</f>
        <v/>
      </c>
      <c r="F137" s="35" t="n"/>
      <c r="G137" s="35" t="n"/>
      <c r="H137" s="33" t="n"/>
      <c r="I137" s="33" t="n"/>
      <c r="J137" s="33" t="n"/>
      <c r="K137" s="33" t="n"/>
      <c r="L137" s="33" t="n"/>
    </row>
    <row r="138">
      <c r="A138" s="36" t="inlineStr">
        <is>
          <t>2025-08-26</t>
        </is>
      </c>
      <c r="B138" s="76" t="n">
        <v>47.34999847412109</v>
      </c>
      <c r="C138" s="77" t="n">
        <v>6465.93994140625</v>
      </c>
      <c r="D138" s="45">
        <f>B138/B137-1</f>
        <v/>
      </c>
      <c r="E138" s="45">
        <f>C138/C137-1</f>
        <v/>
      </c>
      <c r="F138" s="35" t="n"/>
      <c r="G138" s="35" t="n"/>
      <c r="H138" s="33" t="n"/>
      <c r="I138" s="33" t="n"/>
      <c r="J138" s="33" t="n"/>
      <c r="K138" s="33" t="n"/>
      <c r="L138" s="33" t="n"/>
    </row>
    <row r="139">
      <c r="A139" s="36" t="inlineStr">
        <is>
          <t>2025-08-27</t>
        </is>
      </c>
      <c r="B139" s="76" t="n">
        <v>48.43999862670898</v>
      </c>
      <c r="C139" s="77" t="n">
        <v>6481.39990234375</v>
      </c>
      <c r="D139" s="45">
        <f>B139/B138-1</f>
        <v/>
      </c>
      <c r="E139" s="45">
        <f>C139/C138-1</f>
        <v/>
      </c>
      <c r="F139" s="35" t="n"/>
      <c r="G139" s="35" t="n"/>
      <c r="H139" s="33" t="n"/>
      <c r="I139" s="33" t="n"/>
      <c r="J139" s="33" t="n"/>
      <c r="K139" s="33" t="n"/>
      <c r="L139" s="33" t="n"/>
    </row>
    <row r="140">
      <c r="A140" s="36" t="inlineStr">
        <is>
          <t>2025-08-28</t>
        </is>
      </c>
      <c r="B140" s="76" t="n">
        <v>50.86999893188477</v>
      </c>
      <c r="C140" s="77" t="n">
        <v>6501.85986328125</v>
      </c>
      <c r="D140" s="45">
        <f>B140/B139-1</f>
        <v/>
      </c>
      <c r="E140" s="45">
        <f>C140/C139-1</f>
        <v/>
      </c>
      <c r="F140" s="35" t="n"/>
      <c r="G140" s="35" t="n"/>
      <c r="H140" s="33" t="n"/>
      <c r="I140" s="33" t="n"/>
      <c r="J140" s="33" t="n"/>
      <c r="K140" s="33" t="n"/>
      <c r="L140" s="33" t="n"/>
    </row>
    <row r="141">
      <c r="A141" s="36" t="inlineStr">
        <is>
          <t>2025-08-29</t>
        </is>
      </c>
      <c r="B141" s="76" t="n">
        <v>52.47000122070312</v>
      </c>
      <c r="C141" s="77" t="n">
        <v>6460.259765625</v>
      </c>
      <c r="D141" s="45">
        <f>B141/B140-1</f>
        <v/>
      </c>
      <c r="E141" s="45">
        <f>C141/C140-1</f>
        <v/>
      </c>
      <c r="F141" s="35" t="n"/>
      <c r="G141" s="35" t="n"/>
      <c r="H141" s="33" t="n"/>
      <c r="I141" s="33" t="n"/>
      <c r="J141" s="33" t="n"/>
      <c r="K141" s="33" t="n"/>
      <c r="L141" s="33" t="n"/>
    </row>
    <row r="142">
      <c r="A142" s="36" t="inlineStr">
        <is>
          <t>2025-09-02</t>
        </is>
      </c>
      <c r="B142" s="76" t="n">
        <v>51.06999969482422</v>
      </c>
      <c r="C142" s="77" t="n">
        <v>6415.5400390625</v>
      </c>
      <c r="D142" s="45">
        <f>B142/B141-1</f>
        <v/>
      </c>
      <c r="E142" s="45">
        <f>C142/C141-1</f>
        <v/>
      </c>
      <c r="F142" s="35" t="n"/>
      <c r="G142" s="35" t="n"/>
      <c r="H142" s="33" t="n"/>
      <c r="I142" s="33" t="n"/>
      <c r="J142" s="33" t="n"/>
      <c r="K142" s="33" t="n"/>
      <c r="L142" s="33" t="n"/>
    </row>
    <row r="143">
      <c r="A143" s="36" t="inlineStr">
        <is>
          <t>2025-09-03</t>
        </is>
      </c>
      <c r="B143" s="76" t="n">
        <v>53.0099983215332</v>
      </c>
      <c r="C143" s="77" t="n">
        <v>6448.259765625</v>
      </c>
      <c r="D143" s="45">
        <f>B143/B142-1</f>
        <v/>
      </c>
      <c r="E143" s="45">
        <f>C143/C142-1</f>
        <v/>
      </c>
      <c r="F143" s="35" t="n"/>
      <c r="G143" s="35" t="n"/>
      <c r="H143" s="33" t="n"/>
      <c r="I143" s="33" t="n"/>
      <c r="J143" s="33" t="n"/>
      <c r="K143" s="33" t="n"/>
      <c r="L143" s="33" t="n"/>
    </row>
    <row r="144">
      <c r="A144" s="36" t="inlineStr">
        <is>
          <t>2025-09-04</t>
        </is>
      </c>
      <c r="B144" s="76" t="n">
        <v>62.5</v>
      </c>
      <c r="C144" s="77" t="n">
        <v>6502.080078125</v>
      </c>
      <c r="D144" s="45">
        <f>B144/B143-1</f>
        <v/>
      </c>
      <c r="E144" s="45">
        <f>C144/C143-1</f>
        <v/>
      </c>
      <c r="F144" s="35" t="n"/>
      <c r="G144" s="35" t="n"/>
      <c r="H144" s="33" t="n"/>
      <c r="I144" s="33" t="n"/>
      <c r="J144" s="33" t="n"/>
      <c r="K144" s="33" t="n"/>
      <c r="L144" s="33" t="n"/>
    </row>
    <row r="145">
      <c r="A145" s="36" t="inlineStr">
        <is>
          <t>2025-09-05</t>
        </is>
      </c>
      <c r="B145" s="76" t="n">
        <v>68.55000305175781</v>
      </c>
      <c r="C145" s="77" t="n">
        <v>6481.5</v>
      </c>
      <c r="D145" s="45">
        <f>B145/B144-1</f>
        <v/>
      </c>
      <c r="E145" s="45">
        <f>C145/C144-1</f>
        <v/>
      </c>
      <c r="F145" s="35" t="n"/>
      <c r="G145" s="35" t="n"/>
      <c r="H145" s="33" t="n"/>
      <c r="I145" s="33" t="n"/>
      <c r="J145" s="33" t="n"/>
      <c r="K145" s="33" t="n"/>
      <c r="L145" s="33" t="n"/>
    </row>
    <row r="146">
      <c r="A146" s="36" t="inlineStr">
        <is>
          <t>2025-09-08</t>
        </is>
      </c>
      <c r="B146" s="76" t="n">
        <v>70.49500274658203</v>
      </c>
      <c r="C146" s="77" t="n">
        <v>6495.14990234375</v>
      </c>
      <c r="D146" s="45">
        <f>B146/B145-1</f>
        <v/>
      </c>
      <c r="E146" s="45">
        <f>C146/C145-1</f>
        <v/>
      </c>
      <c r="F146" s="35" t="n"/>
      <c r="G146" s="35" t="n"/>
      <c r="H146" s="33" t="n"/>
      <c r="I146" s="33" t="n"/>
      <c r="J146" s="33" t="n"/>
      <c r="K146" s="33" t="n"/>
      <c r="L146" s="33" t="n"/>
    </row>
    <row r="147">
      <c r="A147" s="36" t="inlineStr">
        <is>
          <t>2025-09-09</t>
        </is>
      </c>
      <c r="B147" s="76" t="n">
        <v>70.51000213623047</v>
      </c>
      <c r="C147" s="77" t="n">
        <v>6512.60986328125</v>
      </c>
      <c r="D147" s="45">
        <f>B147/B146-1</f>
        <v/>
      </c>
      <c r="E147" s="45">
        <f>C147/C146-1</f>
        <v/>
      </c>
      <c r="F147" s="35" t="n"/>
      <c r="G147" s="35" t="n"/>
      <c r="H147" s="33" t="n"/>
      <c r="I147" s="33" t="n"/>
      <c r="J147" s="33" t="n"/>
      <c r="K147" s="33" t="n"/>
      <c r="L147" s="33" t="n"/>
    </row>
    <row r="148">
      <c r="A148" s="36" t="inlineStr">
        <is>
          <t>2025-09-10</t>
        </is>
      </c>
      <c r="B148" s="76" t="n">
        <v>73.91999816894531</v>
      </c>
      <c r="C148" s="77" t="n">
        <v>6532.0400390625</v>
      </c>
      <c r="D148" s="45">
        <f>B148/B147-1</f>
        <v/>
      </c>
      <c r="E148" s="45">
        <f>C148/C147-1</f>
        <v/>
      </c>
      <c r="F148" s="35" t="n"/>
      <c r="G148" s="35" t="n"/>
      <c r="H148" s="33" t="n"/>
      <c r="I148" s="33" t="n"/>
      <c r="J148" s="33" t="n"/>
      <c r="K148" s="33" t="n"/>
      <c r="L148" s="33" t="n"/>
    </row>
    <row r="149">
      <c r="A149" s="36" t="inlineStr">
        <is>
          <t>2025-09-11</t>
        </is>
      </c>
      <c r="B149" s="76" t="n">
        <v>84.30000305175781</v>
      </c>
      <c r="C149" s="77" t="n">
        <v>6587.47021484375</v>
      </c>
      <c r="D149" s="45">
        <f>B149/B148-1</f>
        <v/>
      </c>
      <c r="E149" s="45">
        <f>C149/C148-1</f>
        <v/>
      </c>
      <c r="F149" s="35" t="n"/>
      <c r="G149" s="35" t="n"/>
      <c r="H149" s="33" t="n"/>
      <c r="I149" s="33" t="n"/>
      <c r="J149" s="33" t="n"/>
      <c r="K149" s="33" t="n"/>
      <c r="L149" s="33" t="n"/>
    </row>
    <row r="150">
      <c r="A150" s="36" t="inlineStr">
        <is>
          <t>2025-09-12</t>
        </is>
      </c>
      <c r="B150" s="76" t="n">
        <v>86.12999725341797</v>
      </c>
      <c r="C150" s="77" t="n">
        <v>6584.2900390625</v>
      </c>
      <c r="D150" s="45">
        <f>B150/B149-1</f>
        <v/>
      </c>
      <c r="E150" s="45">
        <f>C150/C149-1</f>
        <v/>
      </c>
      <c r="F150" s="35" t="n"/>
      <c r="G150" s="35" t="n"/>
      <c r="H150" s="33" t="n"/>
      <c r="I150" s="33" t="n"/>
      <c r="J150" s="33" t="n"/>
      <c r="K150" s="33" t="n"/>
      <c r="L150" s="33" t="n"/>
    </row>
    <row r="151">
      <c r="A151" s="36" t="inlineStr">
        <is>
          <t>2025-09-15</t>
        </is>
      </c>
      <c r="B151" s="76" t="n">
        <v>90.08999633789062</v>
      </c>
      <c r="C151" s="77" t="n">
        <v>6615.27978515625</v>
      </c>
      <c r="D151" s="45">
        <f>B151/B150-1</f>
        <v/>
      </c>
      <c r="E151" s="45">
        <f>C151/C150-1</f>
        <v/>
      </c>
      <c r="F151" s="35" t="n"/>
      <c r="G151" s="35" t="n"/>
      <c r="H151" s="33" t="n"/>
      <c r="I151" s="33" t="n"/>
      <c r="J151" s="33" t="n"/>
      <c r="K151" s="33" t="n"/>
      <c r="L151" s="33" t="n"/>
    </row>
    <row r="152">
      <c r="A152" s="36" t="inlineStr">
        <is>
          <t>2025-09-16</t>
        </is>
      </c>
      <c r="B152" s="76" t="n">
        <v>91.55000305175781</v>
      </c>
      <c r="C152" s="77" t="n">
        <v>6606.759765625</v>
      </c>
      <c r="D152" s="45">
        <f>B152/B151-1</f>
        <v/>
      </c>
      <c r="E152" s="45">
        <f>C152/C151-1</f>
        <v/>
      </c>
      <c r="F152" s="35" t="n"/>
      <c r="G152" s="35" t="n"/>
      <c r="H152" s="33" t="n"/>
      <c r="I152" s="33" t="n"/>
      <c r="J152" s="33" t="n"/>
      <c r="K152" s="33" t="n"/>
      <c r="L152" s="33" t="n"/>
    </row>
    <row r="153">
      <c r="A153" s="36" t="inlineStr">
        <is>
          <t>2025-09-17</t>
        </is>
      </c>
      <c r="B153" s="76" t="n">
        <v>93.97000122070312</v>
      </c>
      <c r="C153" s="77" t="n">
        <v>6600.35009765625</v>
      </c>
      <c r="D153" s="45">
        <f>B153/B152-1</f>
        <v/>
      </c>
      <c r="E153" s="45">
        <f>C153/C152-1</f>
        <v/>
      </c>
      <c r="F153" s="35" t="n"/>
      <c r="G153" s="35" t="n"/>
      <c r="H153" s="33" t="n"/>
      <c r="I153" s="33" t="n"/>
      <c r="J153" s="33" t="n"/>
      <c r="K153" s="33" t="n"/>
      <c r="L153" s="33" t="n"/>
    </row>
    <row r="154">
      <c r="A154" s="36" t="inlineStr">
        <is>
          <t>2025-09-18</t>
        </is>
      </c>
      <c r="B154" s="76" t="n">
        <v>98.87000274658203</v>
      </c>
      <c r="C154" s="77" t="n">
        <v>6631.9599609375</v>
      </c>
      <c r="D154" s="45">
        <f>B154/B153-1</f>
        <v/>
      </c>
      <c r="E154" s="45">
        <f>C154/C153-1</f>
        <v/>
      </c>
      <c r="F154" s="35" t="n"/>
      <c r="G154" s="35" t="n"/>
      <c r="H154" s="33" t="n"/>
      <c r="I154" s="33" t="n"/>
      <c r="J154" s="33" t="n"/>
      <c r="K154" s="33" t="n"/>
      <c r="L154" s="33" t="n"/>
    </row>
    <row r="155">
      <c r="A155" s="36" t="inlineStr">
        <is>
          <t>2025-09-19</t>
        </is>
      </c>
      <c r="B155" s="76" t="n">
        <v>102.2099990844727</v>
      </c>
      <c r="C155" s="77" t="n">
        <v>6664.35986328125</v>
      </c>
      <c r="D155" s="45">
        <f>B155/B154-1</f>
        <v/>
      </c>
      <c r="E155" s="45">
        <f>C155/C154-1</f>
        <v/>
      </c>
      <c r="F155" s="35" t="n"/>
      <c r="G155" s="35" t="n"/>
      <c r="H155" s="33" t="n"/>
      <c r="I155" s="33" t="n"/>
      <c r="J155" s="33" t="n"/>
      <c r="K155" s="33" t="n"/>
      <c r="L155" s="33" t="n"/>
    </row>
    <row r="156">
      <c r="A156" s="36" t="inlineStr">
        <is>
          <t>2025-09-22</t>
        </is>
      </c>
      <c r="B156" s="76" t="n">
        <v>102.9199981689453</v>
      </c>
      <c r="C156" s="77" t="n">
        <v>6693.75</v>
      </c>
      <c r="D156" s="45">
        <f>B156/B155-1</f>
        <v/>
      </c>
      <c r="E156" s="45">
        <f>C156/C155-1</f>
        <v/>
      </c>
      <c r="F156" s="35" t="n"/>
      <c r="G156" s="35" t="n"/>
      <c r="H156" s="33" t="n"/>
      <c r="I156" s="33" t="n"/>
      <c r="J156" s="33" t="n"/>
      <c r="K156" s="33" t="n"/>
      <c r="L156" s="33" t="n"/>
    </row>
    <row r="157">
      <c r="A157" s="36" t="inlineStr">
        <is>
          <t>2025-09-23</t>
        </is>
      </c>
      <c r="B157" s="76" t="n">
        <v>106.4000015258789</v>
      </c>
      <c r="C157" s="77" t="n">
        <v>6656.919921875</v>
      </c>
      <c r="D157" s="45">
        <f>B157/B156-1</f>
        <v/>
      </c>
      <c r="E157" s="45">
        <f>C157/C156-1</f>
        <v/>
      </c>
      <c r="F157" s="35" t="n"/>
      <c r="G157" s="35" t="n"/>
      <c r="H157" s="33" t="n"/>
      <c r="I157" s="33" t="n"/>
      <c r="J157" s="33" t="n"/>
      <c r="K157" s="33" t="n"/>
      <c r="L157" s="33" t="n"/>
    </row>
    <row r="158">
      <c r="A158" s="36" t="inlineStr">
        <is>
          <t>2025-09-24</t>
        </is>
      </c>
      <c r="B158" s="76" t="n">
        <v>99.83000183105469</v>
      </c>
      <c r="C158" s="77" t="n">
        <v>6637.97021484375</v>
      </c>
      <c r="D158" s="45">
        <f>B158/B157-1</f>
        <v/>
      </c>
      <c r="E158" s="45">
        <f>C158/C157-1</f>
        <v/>
      </c>
      <c r="F158" s="35" t="n"/>
      <c r="G158" s="35" t="n"/>
      <c r="H158" s="33" t="n"/>
      <c r="I158" s="33" t="n"/>
      <c r="J158" s="33" t="n"/>
      <c r="K158" s="33" t="n"/>
      <c r="L158" s="33" t="n"/>
    </row>
    <row r="159">
      <c r="A159" s="36" t="inlineStr">
        <is>
          <t>2025-09-25</t>
        </is>
      </c>
      <c r="B159" s="76" t="n">
        <v>94.29000091552734</v>
      </c>
      <c r="C159" s="77" t="n">
        <v>6604.72021484375</v>
      </c>
      <c r="D159" s="45">
        <f>B159/B158-1</f>
        <v/>
      </c>
      <c r="E159" s="45">
        <f>C159/C158-1</f>
        <v/>
      </c>
      <c r="F159" s="35" t="n"/>
      <c r="G159" s="35" t="n"/>
      <c r="H159" s="33" t="n"/>
      <c r="I159" s="33" t="n"/>
      <c r="J159" s="33" t="n"/>
      <c r="K159" s="33" t="n"/>
      <c r="L159" s="33" t="n"/>
    </row>
    <row r="160">
      <c r="A160" s="36" t="inlineStr">
        <is>
          <t>2025-09-26</t>
        </is>
      </c>
      <c r="B160" s="76" t="n">
        <v>97.12000274658203</v>
      </c>
      <c r="C160" s="77" t="n">
        <v>6643.7001953125</v>
      </c>
      <c r="D160" s="45">
        <f>B160/B159-1</f>
        <v/>
      </c>
      <c r="E160" s="45">
        <f>C160/C159-1</f>
        <v/>
      </c>
      <c r="F160" s="35" t="n"/>
      <c r="G160" s="35" t="n"/>
      <c r="H160" s="33" t="n"/>
      <c r="I160" s="33" t="n"/>
      <c r="J160" s="33" t="n"/>
      <c r="K160" s="33" t="n"/>
      <c r="L160" s="33" t="n"/>
    </row>
    <row r="161">
      <c r="A161" s="36" t="inlineStr">
        <is>
          <t>2025-09-29</t>
        </is>
      </c>
      <c r="B161" s="76" t="n">
        <v>113.5</v>
      </c>
      <c r="C161" s="77" t="n">
        <v>6661.2099609375</v>
      </c>
      <c r="D161" s="45">
        <f>B161/B160-1</f>
        <v/>
      </c>
      <c r="E161" s="45">
        <f>C161/C160-1</f>
        <v/>
      </c>
      <c r="F161" s="35" t="n"/>
      <c r="G161" s="35" t="n"/>
      <c r="H161" s="33" t="n"/>
      <c r="I161" s="33" t="n"/>
      <c r="J161" s="33" t="n"/>
      <c r="K161" s="33" t="n"/>
      <c r="L161" s="33" t="n"/>
    </row>
    <row r="162">
      <c r="A162" s="36" t="inlineStr">
        <is>
          <t>2025-09-30</t>
        </is>
      </c>
      <c r="B162" s="76" t="n">
        <v>112.1999969482422</v>
      </c>
      <c r="C162" s="77" t="n">
        <v>6688.4599609375</v>
      </c>
      <c r="D162" s="45">
        <f>B162/B161-1</f>
        <v/>
      </c>
      <c r="E162" s="45">
        <f>C162/C161-1</f>
        <v/>
      </c>
      <c r="F162" s="35" t="n"/>
      <c r="G162" s="35" t="n"/>
      <c r="H162" s="33" t="n"/>
      <c r="I162" s="33" t="n"/>
      <c r="J162" s="33" t="n"/>
      <c r="K162" s="33" t="n"/>
      <c r="L162" s="33" t="n"/>
    </row>
    <row r="163">
      <c r="A163" s="36" t="inlineStr">
        <is>
          <t>2025-10-01</t>
        </is>
      </c>
      <c r="B163" s="76" t="n">
        <v>121.120002746582</v>
      </c>
      <c r="C163" s="77" t="n">
        <v>6711.2001953125</v>
      </c>
      <c r="D163" s="45">
        <f>B163/B162-1</f>
        <v/>
      </c>
      <c r="E163" s="45">
        <f>C163/C162-1</f>
        <v/>
      </c>
      <c r="F163" s="35" t="n"/>
      <c r="G163" s="35" t="n"/>
      <c r="H163" s="33" t="n"/>
      <c r="I163" s="33" t="n"/>
      <c r="J163" s="33" t="n"/>
      <c r="K163" s="33" t="n"/>
      <c r="L163" s="33" t="n"/>
    </row>
    <row r="164">
      <c r="A164" s="36" t="inlineStr">
        <is>
          <t>2025-10-02</t>
        </is>
      </c>
      <c r="B164" s="76" t="n">
        <v>124.1399993896484</v>
      </c>
      <c r="C164" s="77" t="n">
        <v>6715.35009765625</v>
      </c>
      <c r="D164" s="45">
        <f>B164/B163-1</f>
        <v/>
      </c>
      <c r="E164" s="45">
        <f>C164/C163-1</f>
        <v/>
      </c>
      <c r="F164" s="35" t="n"/>
      <c r="G164" s="35" t="n"/>
      <c r="H164" s="33" t="n"/>
      <c r="I164" s="33" t="n"/>
      <c r="J164" s="33" t="n"/>
      <c r="K164" s="33" t="n"/>
      <c r="L164" s="33" t="n"/>
    </row>
    <row r="165">
      <c r="A165" s="36" t="inlineStr">
        <is>
          <t>2025-10-03</t>
        </is>
      </c>
      <c r="B165" s="76" t="n">
        <v>128.4100036621094</v>
      </c>
      <c r="C165" s="77" t="n">
        <v>6715.7900390625</v>
      </c>
      <c r="D165" s="45">
        <f>B165/B164-1</f>
        <v/>
      </c>
      <c r="E165" s="45">
        <f>C165/C164-1</f>
        <v/>
      </c>
      <c r="F165" s="35" t="n"/>
      <c r="G165" s="35" t="n"/>
      <c r="H165" s="33" t="n"/>
      <c r="I165" s="33" t="n"/>
      <c r="J165" s="33" t="n"/>
      <c r="K165" s="33" t="n"/>
      <c r="L165" s="33" t="n"/>
    </row>
    <row r="166">
      <c r="A166" s="36" t="inlineStr">
        <is>
          <t>2025-10-06</t>
        </is>
      </c>
      <c r="B166" s="76" t="n">
        <v>121.1699981689453</v>
      </c>
      <c r="C166" s="77" t="n">
        <v>6740.27978515625</v>
      </c>
      <c r="D166" s="45">
        <f>B166/B165-1</f>
        <v/>
      </c>
      <c r="E166" s="45">
        <f>C166/C165-1</f>
        <v/>
      </c>
      <c r="F166" s="35" t="n"/>
      <c r="G166" s="35" t="n"/>
      <c r="H166" s="33" t="n"/>
      <c r="I166" s="33" t="n"/>
      <c r="J166" s="33" t="n"/>
      <c r="K166" s="33" t="n"/>
      <c r="L166" s="33" t="n"/>
    </row>
    <row r="167">
      <c r="A167" s="36" t="inlineStr">
        <is>
          <t>2025-10-07</t>
        </is>
      </c>
      <c r="B167" s="76" t="n">
        <v>120.9499969482422</v>
      </c>
      <c r="C167" s="77" t="n">
        <v>6714.58984375</v>
      </c>
      <c r="D167" s="45">
        <f>B167/B166-1</f>
        <v/>
      </c>
      <c r="E167" s="45">
        <f>C167/C166-1</f>
        <v/>
      </c>
      <c r="F167" s="35" t="n"/>
      <c r="G167" s="35" t="n"/>
      <c r="H167" s="33" t="n"/>
      <c r="I167" s="33" t="n"/>
      <c r="J167" s="33" t="n"/>
      <c r="K167" s="33" t="n"/>
      <c r="L167" s="33" t="n"/>
    </row>
    <row r="168">
      <c r="A168" s="36" t="inlineStr">
        <is>
          <t>2025-10-08</t>
        </is>
      </c>
      <c r="B168" s="76" t="n">
        <v>131.8800048828125</v>
      </c>
      <c r="C168" s="77" t="n">
        <v>6753.72021484375</v>
      </c>
      <c r="D168" s="45">
        <f>B168/B167-1</f>
        <v/>
      </c>
      <c r="E168" s="45">
        <f>C168/C167-1</f>
        <v/>
      </c>
      <c r="F168" s="35" t="n"/>
      <c r="G168" s="35" t="n"/>
      <c r="H168" s="33" t="n"/>
      <c r="I168" s="33" t="n"/>
      <c r="J168" s="33" t="n"/>
      <c r="K168" s="33" t="n"/>
      <c r="L168" s="33" t="n"/>
    </row>
    <row r="169">
      <c r="A169" s="36" t="inlineStr">
        <is>
          <t>2025-10-09</t>
        </is>
      </c>
      <c r="B169" s="76" t="n">
        <v>129.6799926757812</v>
      </c>
      <c r="C169" s="77" t="n">
        <v>6735.10986328125</v>
      </c>
      <c r="D169" s="45">
        <f>B169/B168-1</f>
        <v/>
      </c>
      <c r="E169" s="45">
        <f>C169/C168-1</f>
        <v/>
      </c>
      <c r="F169" s="35" t="n"/>
      <c r="G169" s="35" t="n"/>
      <c r="H169" s="33" t="n"/>
      <c r="I169" s="33" t="n"/>
      <c r="J169" s="33" t="n"/>
      <c r="K169" s="33" t="n"/>
      <c r="L169" s="33" t="n"/>
    </row>
    <row r="170">
      <c r="A170" s="36" t="inlineStr">
        <is>
          <t>2025-10-10</t>
        </is>
      </c>
      <c r="B170" s="76" t="n">
        <v>116.9100036621094</v>
      </c>
      <c r="C170" s="77" t="n">
        <v>6552.509765625</v>
      </c>
      <c r="D170" s="45">
        <f>B170/B169-1</f>
        <v/>
      </c>
      <c r="E170" s="45">
        <f>C170/C169-1</f>
        <v/>
      </c>
      <c r="F170" s="35" t="n"/>
      <c r="G170" s="35" t="n"/>
      <c r="H170" s="33" t="n"/>
      <c r="I170" s="33" t="n"/>
      <c r="J170" s="33" t="n"/>
      <c r="K170" s="33" t="n"/>
      <c r="L170" s="33" t="n"/>
    </row>
    <row r="171">
      <c r="A171" s="36" t="inlineStr">
        <is>
          <t>2025-10-13</t>
        </is>
      </c>
      <c r="B171" s="76" t="n">
        <v>134.6100006103516</v>
      </c>
      <c r="C171" s="77" t="n">
        <v>6654.72021484375</v>
      </c>
      <c r="D171" s="45">
        <f>B171/B170-1</f>
        <v/>
      </c>
      <c r="E171" s="45">
        <f>C171/C170-1</f>
        <v/>
      </c>
      <c r="F171" s="35" t="n"/>
      <c r="G171" s="35" t="n"/>
      <c r="H171" s="33" t="n"/>
      <c r="I171" s="33" t="n"/>
      <c r="J171" s="33" t="n"/>
      <c r="K171" s="33" t="n"/>
      <c r="L171" s="33" t="n"/>
    </row>
    <row r="172">
      <c r="A172" s="36" t="inlineStr">
        <is>
          <t>2025-10-14</t>
        </is>
      </c>
      <c r="B172" s="76" t="n">
        <v>127.2900009155273</v>
      </c>
      <c r="C172" s="77" t="n">
        <v>6644.31005859375</v>
      </c>
      <c r="D172" s="45">
        <f>B172/B171-1</f>
        <v/>
      </c>
      <c r="E172" s="45">
        <f>C172/C171-1</f>
        <v/>
      </c>
      <c r="F172" s="35" t="n"/>
      <c r="G172" s="35" t="n"/>
      <c r="H172" s="33" t="n"/>
      <c r="I172" s="33" t="n"/>
      <c r="J172" s="33" t="n"/>
      <c r="K172" s="33" t="n"/>
      <c r="L172" s="33" t="n"/>
    </row>
    <row r="173">
      <c r="A173" s="36" t="inlineStr">
        <is>
          <t>2025-10-15</t>
        </is>
      </c>
      <c r="B173" s="76" t="n">
        <v>144.3000030517578</v>
      </c>
      <c r="C173" s="77" t="n">
        <v>6671.06005859375</v>
      </c>
      <c r="D173" s="45">
        <f>B173/B172-1</f>
        <v/>
      </c>
      <c r="E173" s="45">
        <f>C173/C172-1</f>
        <v/>
      </c>
      <c r="F173" s="35" t="n"/>
      <c r="G173" s="35" t="n"/>
      <c r="H173" s="33" t="n"/>
      <c r="I173" s="33" t="n"/>
      <c r="J173" s="33" t="n"/>
      <c r="K173" s="33" t="n"/>
      <c r="L173" s="33" t="n"/>
    </row>
    <row r="174">
      <c r="A174" s="36" t="inlineStr">
        <is>
          <t>2025-10-16</t>
        </is>
      </c>
      <c r="B174" s="76" t="n">
        <v>144.2700042724609</v>
      </c>
      <c r="C174" s="77" t="n">
        <v>6629.06982421875</v>
      </c>
      <c r="D174" s="45">
        <f>B174/B173-1</f>
        <v/>
      </c>
      <c r="E174" s="45">
        <f>C174/C173-1</f>
        <v/>
      </c>
      <c r="F174" s="35" t="n"/>
      <c r="G174" s="35" t="n"/>
      <c r="H174" s="33" t="n"/>
      <c r="I174" s="33" t="n"/>
      <c r="J174" s="33" t="n"/>
      <c r="K174" s="33" t="n"/>
      <c r="L174" s="33" t="n"/>
    </row>
    <row r="175">
      <c r="A175" s="36" t="inlineStr">
        <is>
          <t>2025-10-17</t>
        </is>
      </c>
      <c r="B175" s="76" t="n">
        <v>140.1600036621094</v>
      </c>
      <c r="C175" s="77" t="n">
        <v>6664.009765625</v>
      </c>
      <c r="D175" s="45">
        <f>B175/B174-1</f>
        <v/>
      </c>
      <c r="E175" s="45">
        <f>C175/C174-1</f>
        <v/>
      </c>
      <c r="F175" s="35" t="n"/>
      <c r="G175" s="35" t="n"/>
      <c r="H175" s="33" t="n"/>
      <c r="I175" s="33" t="n"/>
      <c r="J175" s="33" t="n"/>
      <c r="K175" s="33" t="n"/>
      <c r="L175" s="33" t="n"/>
    </row>
    <row r="176">
      <c r="A176" s="36" t="inlineStr">
        <is>
          <t>2025-10-20</t>
        </is>
      </c>
      <c r="B176" s="76" t="n">
        <v>148.0399932861328</v>
      </c>
      <c r="C176" s="77" t="n">
        <v>6735.1298828125</v>
      </c>
      <c r="D176" s="45">
        <f>B176/B175-1</f>
        <v/>
      </c>
      <c r="E176" s="45">
        <f>C176/C175-1</f>
        <v/>
      </c>
      <c r="F176" s="35" t="n"/>
      <c r="G176" s="35" t="n"/>
      <c r="H176" s="33" t="n"/>
      <c r="I176" s="33" t="n"/>
      <c r="J176" s="33" t="n"/>
      <c r="K176" s="33" t="n"/>
      <c r="L176" s="33" t="n"/>
    </row>
    <row r="177">
      <c r="A177" s="36" t="inlineStr">
        <is>
          <t>2025-10-21</t>
        </is>
      </c>
      <c r="B177" s="76" t="n">
        <v>149.2899932861328</v>
      </c>
      <c r="C177" s="77" t="n">
        <v>6735.35009765625</v>
      </c>
      <c r="D177" s="45">
        <f>B177/B176-1</f>
        <v/>
      </c>
      <c r="E177" s="45">
        <f>C177/C176-1</f>
        <v/>
      </c>
      <c r="F177" s="35" t="n"/>
      <c r="G177" s="35" t="n"/>
      <c r="H177" s="33" t="n"/>
      <c r="I177" s="33" t="n"/>
      <c r="J177" s="33" t="n"/>
      <c r="K177" s="33" t="n"/>
      <c r="L177" s="33" t="n"/>
    </row>
    <row r="178">
      <c r="A178" s="36" t="inlineStr">
        <is>
          <t>2025-10-22</t>
        </is>
      </c>
      <c r="B178" s="76" t="n">
        <v>146.9499969482422</v>
      </c>
      <c r="C178" s="77" t="n">
        <v>6699.39990234375</v>
      </c>
      <c r="D178" s="45">
        <f>B178/B177-1</f>
        <v/>
      </c>
      <c r="E178" s="45">
        <f>C178/C177-1</f>
        <v/>
      </c>
      <c r="F178" s="35" t="n"/>
      <c r="G178" s="35" t="n"/>
      <c r="H178" s="33" t="n"/>
      <c r="I178" s="33" t="n"/>
      <c r="J178" s="33" t="n"/>
      <c r="K178" s="33" t="n"/>
      <c r="L178" s="33" t="n"/>
    </row>
    <row r="179">
      <c r="A179" s="36" t="inlineStr">
        <is>
          <t>2025-10-23</t>
        </is>
      </c>
      <c r="B179" s="76" t="n">
        <v>167.0500030517578</v>
      </c>
      <c r="C179" s="77" t="n">
        <v>6738.43994140625</v>
      </c>
      <c r="D179" s="45">
        <f>B179/B178-1</f>
        <v/>
      </c>
      <c r="E179" s="45">
        <f>C179/C178-1</f>
        <v/>
      </c>
      <c r="F179" s="35" t="n"/>
      <c r="G179" s="35" t="n"/>
      <c r="H179" s="33" t="n"/>
      <c r="I179" s="33" t="n"/>
      <c r="J179" s="33" t="n"/>
      <c r="K179" s="33" t="n"/>
      <c r="L179" s="33" t="n"/>
    </row>
    <row r="180">
      <c r="A180" s="36" t="inlineStr">
        <is>
          <t>2025-10-24</t>
        </is>
      </c>
      <c r="B180" s="76" t="n">
        <v>186.1600036621094</v>
      </c>
      <c r="C180" s="77" t="n">
        <v>6791.68994140625</v>
      </c>
      <c r="D180" s="45">
        <f>B180/B179-1</f>
        <v/>
      </c>
      <c r="E180" s="45">
        <f>C180/C179-1</f>
        <v/>
      </c>
      <c r="F180" s="35" t="n"/>
      <c r="G180" s="35" t="n"/>
      <c r="H180" s="33" t="n"/>
      <c r="I180" s="33" t="n"/>
      <c r="J180" s="33" t="n"/>
      <c r="K180" s="33" t="n"/>
      <c r="L180" s="33" t="n"/>
    </row>
    <row r="181">
      <c r="A181" s="36" t="inlineStr">
        <is>
          <t>2025-10-27</t>
        </is>
      </c>
      <c r="B181" s="76" t="n">
        <v>176.4900054931641</v>
      </c>
      <c r="C181" s="77" t="n">
        <v>6875.16015625</v>
      </c>
      <c r="D181" s="45">
        <f>B181/B180-1</f>
        <v/>
      </c>
      <c r="E181" s="45">
        <f>C181/C180-1</f>
        <v/>
      </c>
      <c r="F181" s="35" t="n"/>
      <c r="G181" s="35" t="n"/>
      <c r="H181" s="33" t="n"/>
      <c r="I181" s="33" t="n"/>
      <c r="J181" s="33" t="n"/>
      <c r="K181" s="33" t="n"/>
      <c r="L181" s="33" t="n"/>
    </row>
    <row r="182">
      <c r="A182" s="36" t="inlineStr">
        <is>
          <t>2025-10-28</t>
        </is>
      </c>
      <c r="B182" s="76" t="n">
        <v>175.5299987792969</v>
      </c>
      <c r="C182" s="77" t="n">
        <v>6890.89013671875</v>
      </c>
      <c r="D182" s="45">
        <f>B182/B181-1</f>
        <v/>
      </c>
      <c r="E182" s="45">
        <f>C182/C181-1</f>
        <v/>
      </c>
      <c r="F182" s="35" t="n"/>
      <c r="G182" s="35" t="n"/>
      <c r="H182" s="33" t="n"/>
      <c r="I182" s="33" t="n"/>
      <c r="J182" s="33" t="n"/>
      <c r="K182" s="33" t="n"/>
      <c r="L182" s="33" t="n"/>
    </row>
    <row r="183">
      <c r="A183" s="36" t="inlineStr">
        <is>
          <t>2025-10-29</t>
        </is>
      </c>
      <c r="B183" s="76" t="n">
        <v>204.3600006103516</v>
      </c>
      <c r="C183" s="77" t="n">
        <v>6890.58984375</v>
      </c>
      <c r="D183" s="45">
        <f>B183/B182-1</f>
        <v/>
      </c>
      <c r="E183" s="45">
        <f>C183/C182-1</f>
        <v/>
      </c>
      <c r="F183" s="35" t="n"/>
      <c r="G183" s="35" t="n"/>
      <c r="H183" s="33" t="n"/>
      <c r="I183" s="33" t="n"/>
      <c r="J183" s="33" t="n"/>
      <c r="K183" s="33" t="n"/>
      <c r="L183" s="33" t="n"/>
    </row>
    <row r="184">
      <c r="A184" s="36" t="inlineStr">
        <is>
          <t>2025-10-30</t>
        </is>
      </c>
      <c r="B184" s="76" t="n">
        <v>195.8200073242188</v>
      </c>
      <c r="C184" s="77" t="n">
        <v>6822.33984375</v>
      </c>
      <c r="D184" s="45">
        <f>B184/B183-1</f>
        <v/>
      </c>
      <c r="E184" s="45">
        <f>C184/C183-1</f>
        <v/>
      </c>
      <c r="F184" s="35" t="n"/>
      <c r="G184" s="35" t="n"/>
      <c r="H184" s="33" t="n"/>
      <c r="I184" s="33" t="n"/>
      <c r="J184" s="33" t="n"/>
      <c r="K184" s="33" t="n"/>
      <c r="L184" s="33" t="n"/>
    </row>
    <row r="185">
      <c r="A185" s="36" t="inlineStr">
        <is>
          <t>2025-10-31</t>
        </is>
      </c>
      <c r="B185" s="76" t="n">
        <v>199.3300018310547</v>
      </c>
      <c r="C185" s="77" t="n">
        <v>6840.2001953125</v>
      </c>
      <c r="D185" s="45">
        <f>B185/B184-1</f>
        <v/>
      </c>
      <c r="E185" s="45">
        <f>C185/C184-1</f>
        <v/>
      </c>
      <c r="F185" s="35" t="n"/>
      <c r="G185" s="35" t="n"/>
      <c r="H185" s="33" t="n"/>
      <c r="I185" s="33" t="n"/>
      <c r="J185" s="33" t="n"/>
      <c r="K185" s="33" t="n"/>
      <c r="L185" s="33" t="n"/>
    </row>
    <row r="186">
      <c r="A186" s="36" t="inlineStr">
        <is>
          <t>2025-11-03</t>
        </is>
      </c>
      <c r="B186" s="76" t="n">
        <v>207.0099945068359</v>
      </c>
      <c r="C186" s="77" t="n">
        <v>6851.97021484375</v>
      </c>
      <c r="D186" s="45">
        <f>B186/B185-1</f>
        <v/>
      </c>
      <c r="E186" s="45">
        <f>C186/C185-1</f>
        <v/>
      </c>
      <c r="F186" s="35" t="n"/>
      <c r="G186" s="35" t="n"/>
      <c r="H186" s="33" t="n"/>
      <c r="I186" s="33" t="n"/>
      <c r="J186" s="33" t="n"/>
      <c r="K186" s="33" t="n"/>
      <c r="L186" s="33" t="n"/>
    </row>
    <row r="187">
      <c r="A187" s="36" t="inlineStr">
        <is>
          <t>2025-11-04</t>
        </is>
      </c>
      <c r="B187" s="76" t="n">
        <v>194.5700073242188</v>
      </c>
      <c r="C187" s="77" t="n">
        <v>6771.5498046875</v>
      </c>
      <c r="D187" s="45">
        <f>B187/B186-1</f>
        <v/>
      </c>
      <c r="E187" s="45">
        <f>C187/C186-1</f>
        <v/>
      </c>
      <c r="F187" s="35" t="n"/>
      <c r="G187" s="35" t="n"/>
      <c r="H187" s="33" t="n"/>
      <c r="I187" s="33" t="n"/>
      <c r="J187" s="33" t="n"/>
      <c r="K187" s="33" t="n"/>
      <c r="L187" s="33" t="n"/>
    </row>
    <row r="188">
      <c r="A188" s="36" t="inlineStr">
        <is>
          <t>2025-11-05</t>
        </is>
      </c>
      <c r="B188" s="76" t="n">
        <v>216.5</v>
      </c>
      <c r="C188" s="77" t="n">
        <v>6796.2900390625</v>
      </c>
      <c r="D188" s="45">
        <f>B188/B187-1</f>
        <v/>
      </c>
      <c r="E188" s="45">
        <f>C188/C187-1</f>
        <v/>
      </c>
      <c r="F188" s="35" t="n"/>
      <c r="G188" s="35" t="n"/>
      <c r="H188" s="33" t="n"/>
      <c r="I188" s="33" t="n"/>
      <c r="J188" s="33" t="n"/>
      <c r="K188" s="33" t="n"/>
      <c r="L188" s="33" t="n"/>
    </row>
    <row r="189">
      <c r="A189" s="36" t="inlineStr">
        <is>
          <t>2025-11-06</t>
        </is>
      </c>
      <c r="B189" s="76" t="n">
        <v>207.6900024414062</v>
      </c>
      <c r="C189" s="77" t="n">
        <v>6720.31982421875</v>
      </c>
      <c r="D189" s="45">
        <f>B189/B188-1</f>
        <v/>
      </c>
      <c r="E189" s="45">
        <f>C189/C188-1</f>
        <v/>
      </c>
      <c r="F189" s="35" t="n"/>
      <c r="G189" s="35" t="n"/>
      <c r="H189" s="33" t="n"/>
      <c r="I189" s="33" t="n"/>
      <c r="J189" s="33" t="n"/>
      <c r="K189" s="33" t="n"/>
      <c r="L189" s="33" t="n"/>
    </row>
    <row r="190">
      <c r="A190" s="36" t="inlineStr">
        <is>
          <t>2025-11-07</t>
        </is>
      </c>
      <c r="B190" s="76" t="n">
        <v>239.4799957275391</v>
      </c>
      <c r="C190" s="77" t="n">
        <v>6728.7998046875</v>
      </c>
      <c r="D190" s="45">
        <f>B190/B189-1</f>
        <v/>
      </c>
      <c r="E190" s="45">
        <f>C190/C189-1</f>
        <v/>
      </c>
      <c r="F190" s="35" t="n"/>
      <c r="G190" s="35" t="n"/>
      <c r="H190" s="33" t="n"/>
      <c r="I190" s="33" t="n"/>
      <c r="J190" s="33" t="n"/>
      <c r="K190" s="33" t="n"/>
      <c r="L190" s="33" t="n"/>
    </row>
    <row r="191">
      <c r="A191" s="36" t="inlineStr">
        <is>
          <t>2025-11-10</t>
        </is>
      </c>
      <c r="B191" s="76" t="n">
        <v>267.9500122070312</v>
      </c>
      <c r="C191" s="77" t="n">
        <v>6832.43017578125</v>
      </c>
      <c r="D191" s="45">
        <f>B191/B190-1</f>
        <v/>
      </c>
      <c r="E191" s="45">
        <f>C191/C190-1</f>
        <v/>
      </c>
      <c r="F191" s="35" t="n"/>
      <c r="G191" s="35" t="n"/>
      <c r="H191" s="33" t="n"/>
      <c r="I191" s="33" t="n"/>
      <c r="J191" s="33" t="n"/>
      <c r="K191" s="33" t="n"/>
      <c r="L191" s="33" t="n"/>
    </row>
    <row r="192">
      <c r="A192" s="36" t="inlineStr">
        <is>
          <t>2025-11-11</t>
        </is>
      </c>
      <c r="B192" s="76" t="n">
        <v>271.5799865722656</v>
      </c>
      <c r="C192" s="77" t="n">
        <v>6846.60986328125</v>
      </c>
      <c r="D192" s="45">
        <f>B192/B191-1</f>
        <v/>
      </c>
      <c r="E192" s="45">
        <f>C192/C191-1</f>
        <v/>
      </c>
      <c r="F192" s="35" t="n"/>
      <c r="G192" s="35" t="n"/>
      <c r="H192" s="33" t="n"/>
      <c r="I192" s="33" t="n"/>
      <c r="J192" s="33" t="n"/>
      <c r="K192" s="33" t="n"/>
      <c r="L192" s="33" t="n"/>
    </row>
    <row r="193">
      <c r="A193" s="36" t="inlineStr">
        <is>
          <t>2025-11-12</t>
        </is>
      </c>
      <c r="B193" s="76" t="n">
        <v>283.1000061035156</v>
      </c>
      <c r="C193" s="77" t="n">
        <v>6850.919921875</v>
      </c>
      <c r="D193" s="45">
        <f>B193/B192-1</f>
        <v/>
      </c>
      <c r="E193" s="45">
        <f>C193/C192-1</f>
        <v/>
      </c>
      <c r="F193" s="35" t="n"/>
      <c r="G193" s="35" t="n"/>
      <c r="H193" s="33" t="n"/>
      <c r="I193" s="33" t="n"/>
      <c r="J193" s="33" t="n"/>
      <c r="K193" s="33" t="n"/>
      <c r="L193" s="33" t="n"/>
    </row>
    <row r="194">
      <c r="A194" s="36" t="inlineStr">
        <is>
          <t>2025-11-13</t>
        </is>
      </c>
      <c r="B194" s="76" t="n">
        <v>243.5700073242188</v>
      </c>
      <c r="C194" s="77" t="n">
        <v>6737.490234375</v>
      </c>
      <c r="D194" s="45">
        <f>B194/B193-1</f>
        <v/>
      </c>
      <c r="E194" s="45">
        <f>C194/C193-1</f>
        <v/>
      </c>
      <c r="F194" s="35" t="n"/>
      <c r="G194" s="35" t="n"/>
      <c r="H194" s="33" t="n"/>
      <c r="I194" s="33" t="n"/>
      <c r="J194" s="33" t="n"/>
      <c r="K194" s="33" t="n"/>
      <c r="L194" s="33" t="n"/>
    </row>
    <row r="195">
      <c r="A195" s="36" t="inlineStr">
        <is>
          <t>2025-11-14</t>
        </is>
      </c>
      <c r="B195" s="76" t="n">
        <v>254.1600036621094</v>
      </c>
      <c r="C195" s="77" t="n">
        <v>6734.10986328125</v>
      </c>
      <c r="D195" s="45">
        <f>B195/B194-1</f>
        <v/>
      </c>
      <c r="E195" s="45">
        <f>C195/C194-1</f>
        <v/>
      </c>
      <c r="F195" s="35" t="n"/>
      <c r="G195" s="35" t="n"/>
      <c r="H195" s="33" t="n"/>
      <c r="I195" s="33" t="n"/>
      <c r="J195" s="33" t="n"/>
      <c r="K195" s="33" t="n"/>
      <c r="L195" s="33" t="n"/>
    </row>
    <row r="196">
      <c r="A196" s="36" t="inlineStr">
        <is>
          <t>2025-11-17</t>
        </is>
      </c>
      <c r="B196" s="76" t="n">
        <v>265.8800048828125</v>
      </c>
      <c r="C196" s="77" t="n">
        <v>6672.41015625</v>
      </c>
      <c r="D196" s="45">
        <f>B196/B195-1</f>
        <v/>
      </c>
      <c r="E196" s="45">
        <f>C196/C195-1</f>
        <v/>
      </c>
      <c r="F196" s="35" t="n"/>
      <c r="G196" s="35" t="n"/>
      <c r="H196" s="33" t="n"/>
      <c r="I196" s="33" t="n"/>
      <c r="J196" s="33" t="n"/>
      <c r="K196" s="33" t="n"/>
      <c r="L196" s="33" t="n"/>
    </row>
    <row r="197">
      <c r="A197" s="36" t="inlineStr">
        <is>
          <t>2025-11-18</t>
        </is>
      </c>
      <c r="B197" s="76" t="n">
        <v>244.9299926757812</v>
      </c>
      <c r="C197" s="77" t="n">
        <v>6617.31982421875</v>
      </c>
      <c r="D197" s="45">
        <f>B197/B196-1</f>
        <v/>
      </c>
      <c r="E197" s="45">
        <f>C197/C196-1</f>
        <v/>
      </c>
      <c r="F197" s="35" t="n"/>
      <c r="G197" s="35" t="n"/>
      <c r="H197" s="33" t="n"/>
      <c r="I197" s="33" t="n"/>
      <c r="J197" s="33" t="n"/>
      <c r="K197" s="33" t="n"/>
      <c r="L197" s="33" t="n"/>
    </row>
    <row r="198">
      <c r="A198" s="36" t="inlineStr">
        <is>
          <t>2025-11-19</t>
        </is>
      </c>
      <c r="B198" s="76" t="n">
        <v>245.9600067138672</v>
      </c>
      <c r="C198" s="77" t="n">
        <v>6642.16015625</v>
      </c>
      <c r="D198" s="45">
        <f>B198/B197-1</f>
        <v/>
      </c>
      <c r="E198" s="45">
        <f>C198/C197-1</f>
        <v/>
      </c>
      <c r="F198" s="35" t="n"/>
      <c r="G198" s="35" t="n"/>
      <c r="H198" s="33" t="n"/>
      <c r="I198" s="33" t="n"/>
      <c r="J198" s="33" t="n"/>
      <c r="K198" s="33" t="n"/>
      <c r="L198" s="33" t="n"/>
    </row>
    <row r="199">
      <c r="A199" s="36" t="inlineStr">
        <is>
          <t>2025-11-20</t>
        </is>
      </c>
      <c r="B199" s="76" t="n">
        <v>195.9600067138672</v>
      </c>
      <c r="C199" s="77" t="n">
        <v>6538.759765625</v>
      </c>
      <c r="D199" s="45">
        <f>B199/B198-1</f>
        <v/>
      </c>
      <c r="E199" s="45">
        <f>C199/C198-1</f>
        <v/>
      </c>
      <c r="F199" s="35" t="n"/>
      <c r="G199" s="35" t="n"/>
      <c r="H199" s="33" t="n"/>
      <c r="I199" s="33" t="n"/>
      <c r="J199" s="33" t="n"/>
      <c r="K199" s="33" t="n"/>
      <c r="L199" s="33" t="n"/>
    </row>
    <row r="200">
      <c r="A200" s="36" t="inlineStr">
        <is>
          <t>2025-11-21</t>
        </is>
      </c>
      <c r="B200" s="76" t="n">
        <v>200.2700042724609</v>
      </c>
      <c r="C200" s="77" t="n">
        <v>6602.990234375</v>
      </c>
      <c r="D200" s="45">
        <f>B200/B199-1</f>
        <v/>
      </c>
      <c r="E200" s="45">
        <f>C200/C199-1</f>
        <v/>
      </c>
      <c r="F200" s="35" t="n"/>
      <c r="G200" s="35" t="n"/>
      <c r="H200" s="33" t="n"/>
      <c r="I200" s="33" t="n"/>
      <c r="J200" s="33" t="n"/>
      <c r="K200" s="33" t="n"/>
      <c r="L200" s="33" t="n"/>
    </row>
    <row r="201">
      <c r="A201" s="36" t="inlineStr">
        <is>
          <t>2025-11-24</t>
        </is>
      </c>
      <c r="B201" s="76" t="n">
        <v>226.9600067138672</v>
      </c>
      <c r="C201" s="77" t="n">
        <v>6705.1201171875</v>
      </c>
      <c r="D201" s="45">
        <f>B201/B200-1</f>
        <v/>
      </c>
      <c r="E201" s="45">
        <f>C201/C200-1</f>
        <v/>
      </c>
      <c r="F201" s="35" t="n"/>
      <c r="G201" s="35" t="n"/>
      <c r="H201" s="33" t="n"/>
      <c r="I201" s="33" t="n"/>
      <c r="J201" s="33" t="n"/>
      <c r="K201" s="33" t="n"/>
      <c r="L201" s="33" t="n"/>
    </row>
    <row r="202">
      <c r="A202" s="36" t="inlineStr">
        <is>
          <t>2025-11-25</t>
        </is>
      </c>
      <c r="B202" s="76" t="n">
        <v>220.5</v>
      </c>
      <c r="C202" s="77" t="n">
        <v>6765.8798828125</v>
      </c>
      <c r="D202" s="45">
        <f>B202/B201-1</f>
        <v/>
      </c>
      <c r="E202" s="45">
        <f>C202/C201-1</f>
        <v/>
      </c>
      <c r="F202" s="35" t="n"/>
      <c r="G202" s="35" t="n"/>
      <c r="H202" s="33" t="n"/>
      <c r="I202" s="33" t="n"/>
      <c r="J202" s="33" t="n"/>
      <c r="K202" s="33" t="n"/>
      <c r="L202" s="33" t="n"/>
    </row>
    <row r="203">
      <c r="A203" s="36" t="inlineStr">
        <is>
          <t>2025-11-26</t>
        </is>
      </c>
      <c r="B203" s="76" t="n">
        <v>215.0399932861328</v>
      </c>
      <c r="C203" s="77" t="n">
        <v>6812.60986328125</v>
      </c>
      <c r="D203" s="45">
        <f>B203/B202-1</f>
        <v/>
      </c>
      <c r="E203" s="45">
        <f>C203/C202-1</f>
        <v/>
      </c>
      <c r="F203" s="35" t="n"/>
      <c r="G203" s="35" t="n"/>
      <c r="H203" s="33" t="n"/>
      <c r="I203" s="33" t="n"/>
      <c r="J203" s="33" t="n"/>
      <c r="K203" s="33" t="n"/>
      <c r="L203" s="33" t="n"/>
    </row>
    <row r="204">
      <c r="A204" s="36" t="inlineStr">
        <is>
          <t>2025-11-28</t>
        </is>
      </c>
      <c r="B204" s="76" t="n">
        <v>223.2799987792969</v>
      </c>
      <c r="C204" s="77" t="n">
        <v>6849.08984375</v>
      </c>
      <c r="D204" s="45">
        <f>B204/B203-1</f>
        <v/>
      </c>
      <c r="E204" s="45">
        <f>C204/C203-1</f>
        <v/>
      </c>
      <c r="F204" s="35" t="n"/>
      <c r="G204" s="35" t="n"/>
      <c r="H204" s="33" t="n"/>
      <c r="I204" s="33" t="n"/>
      <c r="J204" s="33" t="n"/>
      <c r="K204" s="33" t="n"/>
      <c r="L204" s="33" t="n"/>
    </row>
    <row r="205">
      <c r="A205" s="36" t="inlineStr">
        <is>
          <t>2025-12-01</t>
        </is>
      </c>
      <c r="B205" s="76" t="n">
        <v>210.1699981689453</v>
      </c>
      <c r="C205" s="77" t="n">
        <v>6812.6298828125</v>
      </c>
      <c r="D205" s="45">
        <f>B205/B204-1</f>
        <v/>
      </c>
      <c r="E205" s="45">
        <f>C205/C204-1</f>
        <v/>
      </c>
      <c r="F205" s="35" t="n"/>
      <c r="G205" s="35" t="n"/>
      <c r="H205" s="33" t="n"/>
      <c r="I205" s="33" t="n"/>
      <c r="J205" s="33" t="n"/>
      <c r="K205" s="33" t="n"/>
      <c r="L205" s="33" t="n"/>
    </row>
    <row r="206">
      <c r="A206" s="36" t="inlineStr">
        <is>
          <t>2025-12-02</t>
        </is>
      </c>
      <c r="B206" s="76" t="n">
        <v>205.3500061035156</v>
      </c>
      <c r="C206" s="77" t="n">
        <v>6829.3701171875</v>
      </c>
      <c r="D206" s="45">
        <f>B206/B205-1</f>
        <v/>
      </c>
      <c r="E206" s="45">
        <f>C206/C205-1</f>
        <v/>
      </c>
      <c r="F206" s="35" t="n"/>
      <c r="G206" s="35" t="n"/>
      <c r="H206" s="33" t="n"/>
      <c r="I206" s="33" t="n"/>
      <c r="J206" s="33" t="n"/>
      <c r="K206" s="33" t="n"/>
      <c r="L206" s="33" t="n"/>
    </row>
    <row r="207">
      <c r="A207" s="36" t="inlineStr">
        <is>
          <t>2025-12-03</t>
        </is>
      </c>
      <c r="B207" s="76" t="n">
        <v>194.3800048828125</v>
      </c>
      <c r="C207" s="77" t="n">
        <v>6849.72021484375</v>
      </c>
      <c r="D207" s="45">
        <f>B207/B206-1</f>
        <v/>
      </c>
      <c r="E207" s="45">
        <f>C207/C206-1</f>
        <v/>
      </c>
      <c r="F207" s="35" t="n"/>
      <c r="G207" s="35" t="n"/>
      <c r="H207" s="33" t="n"/>
      <c r="I207" s="33" t="n"/>
      <c r="J207" s="33" t="n"/>
      <c r="K207" s="33" t="n"/>
      <c r="L207" s="33" t="n"/>
    </row>
    <row r="208">
      <c r="A208" s="36" t="inlineStr">
        <is>
          <t>2025-12-04</t>
        </is>
      </c>
      <c r="B208" s="76" t="n">
        <v>213.3099975585938</v>
      </c>
      <c r="C208" s="77" t="n">
        <v>6857.1201171875</v>
      </c>
      <c r="D208" s="45">
        <f>B208/B207-1</f>
        <v/>
      </c>
      <c r="E208" s="45">
        <f>C208/C207-1</f>
        <v/>
      </c>
      <c r="F208" s="35" t="n"/>
      <c r="G208" s="35" t="n"/>
      <c r="H208" s="33" t="n"/>
      <c r="I208" s="33" t="n"/>
      <c r="J208" s="33" t="n"/>
      <c r="K208" s="33" t="n"/>
      <c r="L208" s="33" t="n"/>
    </row>
    <row r="209">
      <c r="A209" s="36" t="inlineStr">
        <is>
          <t>2025-12-05</t>
        </is>
      </c>
      <c r="B209" s="76" t="n">
        <v>228.4700012207031</v>
      </c>
      <c r="C209" s="77" t="n">
        <v>6870.39990234375</v>
      </c>
      <c r="D209" s="45">
        <f>B209/B208-1</f>
        <v/>
      </c>
      <c r="E209" s="45">
        <f>C209/C208-1</f>
        <v/>
      </c>
      <c r="F209" s="35" t="n"/>
      <c r="G209" s="35" t="n"/>
      <c r="H209" s="33" t="n"/>
      <c r="I209" s="33" t="n"/>
      <c r="J209" s="33" t="n"/>
      <c r="K209" s="33" t="n"/>
      <c r="L209" s="33" t="n"/>
    </row>
    <row r="210">
      <c r="A210" s="36" t="inlineStr">
        <is>
          <t>2025-12-08</t>
        </is>
      </c>
      <c r="B210" s="76" t="n">
        <v>225.4700012207031</v>
      </c>
      <c r="C210" s="77" t="n">
        <v>6846.509765625</v>
      </c>
      <c r="D210" s="45">
        <f>B210/B209-1</f>
        <v/>
      </c>
      <c r="E210" s="45">
        <f>C210/C209-1</f>
        <v/>
      </c>
      <c r="F210" s="35" t="n"/>
      <c r="G210" s="35" t="n"/>
      <c r="H210" s="33" t="n"/>
      <c r="I210" s="33" t="n"/>
      <c r="J210" s="33" t="n"/>
      <c r="K210" s="33" t="n"/>
      <c r="L210" s="33" t="n"/>
    </row>
    <row r="211">
      <c r="A211" s="36" t="inlineStr">
        <is>
          <t>2025-12-09</t>
        </is>
      </c>
      <c r="B211" s="76" t="n">
        <v>219.4600067138672</v>
      </c>
      <c r="C211" s="77" t="n">
        <v>6840.509765625</v>
      </c>
      <c r="D211" s="45">
        <f>B211/B210-1</f>
        <v/>
      </c>
      <c r="E211" s="45">
        <f>C211/C210-1</f>
        <v/>
      </c>
      <c r="F211" s="35" t="n"/>
      <c r="G211" s="35" t="n"/>
      <c r="H211" s="33" t="n"/>
      <c r="I211" s="33" t="n"/>
      <c r="J211" s="33" t="n"/>
      <c r="K211" s="33" t="n"/>
      <c r="L211" s="33" t="n"/>
    </row>
    <row r="212">
      <c r="A212" s="36" t="inlineStr">
        <is>
          <t>2025-12-10</t>
        </is>
      </c>
      <c r="B212" s="76" t="n">
        <v>232.8600006103516</v>
      </c>
      <c r="C212" s="77" t="n">
        <v>6886.68017578125</v>
      </c>
      <c r="D212" s="45">
        <f>B212/B211-1</f>
        <v/>
      </c>
      <c r="E212" s="45">
        <f>C212/C211-1</f>
        <v/>
      </c>
      <c r="F212" s="35" t="n"/>
      <c r="G212" s="35" t="n"/>
      <c r="H212" s="33" t="n"/>
      <c r="I212" s="33" t="n"/>
      <c r="J212" s="33" t="n"/>
      <c r="K212" s="33" t="n"/>
      <c r="L212" s="33" t="n"/>
    </row>
    <row r="213">
      <c r="A213" s="36" t="inlineStr">
        <is>
          <t>2025-12-11</t>
        </is>
      </c>
      <c r="B213" s="76" t="n">
        <v>241.6100006103516</v>
      </c>
      <c r="C213" s="77" t="n">
        <v>6901</v>
      </c>
      <c r="D213" s="45">
        <f>B213/B212-1</f>
        <v/>
      </c>
      <c r="E213" s="45">
        <f>C213/C212-1</f>
        <v/>
      </c>
      <c r="F213" s="35" t="n"/>
      <c r="G213" s="35" t="n"/>
      <c r="H213" s="33" t="n"/>
      <c r="I213" s="33" t="n"/>
      <c r="J213" s="33" t="n"/>
      <c r="K213" s="33" t="n"/>
      <c r="L213" s="33" t="n"/>
    </row>
    <row r="214">
      <c r="A214" s="36" t="inlineStr">
        <is>
          <t>2025-12-12</t>
        </is>
      </c>
      <c r="B214" s="76" t="n">
        <v>206.1799926757812</v>
      </c>
      <c r="C214" s="77" t="n">
        <v>6827.41015625</v>
      </c>
      <c r="D214" s="45">
        <f>B214/B213-1</f>
        <v/>
      </c>
      <c r="E214" s="45">
        <f>C214/C213-1</f>
        <v/>
      </c>
      <c r="F214" s="35" t="n"/>
      <c r="G214" s="35" t="n"/>
      <c r="H214" s="33" t="n"/>
      <c r="I214" s="33" t="n"/>
      <c r="J214" s="33" t="n"/>
      <c r="K214" s="33" t="n"/>
      <c r="L214" s="33" t="n"/>
    </row>
    <row r="215">
      <c r="A215" s="36" t="inlineStr">
        <is>
          <t>2025-12-15</t>
        </is>
      </c>
      <c r="B215" s="76" t="n">
        <v>201.8699951171875</v>
      </c>
      <c r="C215" s="77" t="n">
        <v>6816.509765625</v>
      </c>
      <c r="D215" s="45">
        <f>B215/B214-1</f>
        <v/>
      </c>
      <c r="E215" s="45">
        <f>C215/C214-1</f>
        <v/>
      </c>
      <c r="F215" s="35" t="n"/>
      <c r="G215" s="35" t="n"/>
      <c r="H215" s="33" t="n"/>
      <c r="I215" s="33" t="n"/>
      <c r="J215" s="33" t="n"/>
      <c r="K215" s="33" t="n"/>
      <c r="L215" s="33" t="n"/>
    </row>
    <row r="216">
      <c r="A216" s="36" t="inlineStr">
        <is>
          <t>2025-12-16</t>
        </is>
      </c>
      <c r="B216" s="76" t="n">
        <v>209.3099975585938</v>
      </c>
      <c r="C216" s="77" t="n">
        <v>6800.259765625</v>
      </c>
      <c r="D216" s="45">
        <f>B216/B215-1</f>
        <v/>
      </c>
      <c r="E216" s="45">
        <f>C216/C215-1</f>
        <v/>
      </c>
      <c r="F216" s="35" t="n"/>
      <c r="G216" s="35" t="n"/>
      <c r="H216" s="33" t="n"/>
      <c r="I216" s="33" t="n"/>
      <c r="J216" s="33" t="n"/>
      <c r="K216" s="33" t="n"/>
      <c r="L216" s="33" t="n"/>
    </row>
    <row r="217">
      <c r="A217" s="36" t="inlineStr">
        <is>
          <t>2025-12-17</t>
        </is>
      </c>
      <c r="B217" s="76" t="n">
        <v>206.8300018310547</v>
      </c>
      <c r="C217" s="77" t="n">
        <v>6721.43017578125</v>
      </c>
      <c r="D217" s="45">
        <f>B217/B216-1</f>
        <v/>
      </c>
      <c r="E217" s="45">
        <f>C217/C216-1</f>
        <v/>
      </c>
      <c r="F217" s="35" t="n"/>
      <c r="G217" s="35" t="n"/>
      <c r="H217" s="33" t="n"/>
      <c r="I217" s="33" t="n"/>
      <c r="J217" s="33" t="n"/>
      <c r="K217" s="33" t="n"/>
      <c r="L217" s="33" t="n"/>
    </row>
    <row r="218">
      <c r="A218" s="36" t="inlineStr">
        <is>
          <t>2025-12-18</t>
        </is>
      </c>
      <c r="B218" s="76" t="n">
        <v>219.4600067138672</v>
      </c>
      <c r="C218" s="77" t="n">
        <v>6774.759765625</v>
      </c>
      <c r="D218" s="45">
        <f>B218/B217-1</f>
        <v/>
      </c>
      <c r="E218" s="45">
        <f>C218/C217-1</f>
        <v/>
      </c>
      <c r="F218" s="35" t="n"/>
      <c r="G218" s="35" t="n"/>
      <c r="H218" s="33" t="n"/>
      <c r="I218" s="33" t="n"/>
      <c r="J218" s="33" t="n"/>
      <c r="K218" s="33" t="n"/>
      <c r="L218" s="33" t="n"/>
    </row>
    <row r="219">
      <c r="A219" s="36" t="inlineStr">
        <is>
          <t>2025-12-19</t>
        </is>
      </c>
      <c r="B219" s="76" t="n">
        <v>237.6100006103516</v>
      </c>
      <c r="C219" s="77" t="n">
        <v>6834.5</v>
      </c>
      <c r="D219" s="45">
        <f>B219/B218-1</f>
        <v/>
      </c>
      <c r="E219" s="45">
        <f>C219/C218-1</f>
        <v/>
      </c>
      <c r="F219" s="35" t="n"/>
      <c r="G219" s="35" t="n"/>
      <c r="H219" s="33" t="n"/>
      <c r="I219" s="33" t="n"/>
      <c r="J219" s="33" t="n"/>
      <c r="K219" s="33" t="n"/>
      <c r="L219" s="33" t="n"/>
    </row>
    <row r="220">
      <c r="A220" s="36" t="inlineStr">
        <is>
          <t>2025-12-22</t>
        </is>
      </c>
      <c r="B220" s="76" t="n">
        <v>241.0500030517578</v>
      </c>
      <c r="C220" s="77" t="n">
        <v>6878.490234375</v>
      </c>
      <c r="D220" s="45">
        <f>B220/B219-1</f>
        <v/>
      </c>
      <c r="E220" s="45">
        <f>C220/C219-1</f>
        <v/>
      </c>
      <c r="F220" s="35" t="n"/>
      <c r="G220" s="35" t="n"/>
      <c r="H220" s="33" t="n"/>
      <c r="I220" s="33" t="n"/>
      <c r="J220" s="33" t="n"/>
      <c r="K220" s="33" t="n"/>
      <c r="L220" s="33" t="n"/>
    </row>
    <row r="221">
      <c r="A221" s="36" t="inlineStr">
        <is>
          <t>2025-12-23</t>
        </is>
      </c>
      <c r="B221" s="76" t="n">
        <v>244.8999938964844</v>
      </c>
      <c r="C221" s="77" t="n">
        <v>6909.7900390625</v>
      </c>
      <c r="D221" s="45">
        <f>B221/B220-1</f>
        <v/>
      </c>
      <c r="E221" s="45">
        <f>C221/C220-1</f>
        <v/>
      </c>
      <c r="F221" s="35" t="n"/>
      <c r="G221" s="35" t="n"/>
      <c r="H221" s="33" t="n"/>
      <c r="I221" s="33" t="n"/>
      <c r="J221" s="33" t="n"/>
      <c r="K221" s="33" t="n"/>
      <c r="L221" s="33" t="n"/>
    </row>
    <row r="222">
      <c r="A222" s="36" t="inlineStr">
        <is>
          <t>2025-12-24</t>
        </is>
      </c>
      <c r="B222" s="76" t="n">
        <v>250.0800018310547</v>
      </c>
      <c r="C222" s="77" t="n">
        <v>6932.0498046875</v>
      </c>
      <c r="D222" s="45">
        <f>B222/B221-1</f>
        <v/>
      </c>
      <c r="E222" s="45">
        <f>C222/C221-1</f>
        <v/>
      </c>
      <c r="F222" s="35" t="n"/>
      <c r="G222" s="35" t="n"/>
      <c r="H222" s="33" t="n"/>
      <c r="I222" s="33" t="n"/>
      <c r="J222" s="33" t="n"/>
      <c r="K222" s="33" t="n"/>
      <c r="L222" s="33" t="n"/>
    </row>
    <row r="223">
      <c r="A223" s="36" t="inlineStr">
        <is>
          <t>2025-12-26</t>
        </is>
      </c>
      <c r="B223" s="76" t="n">
        <v>250.0500030517578</v>
      </c>
      <c r="C223" s="77" t="n">
        <v>6929.93994140625</v>
      </c>
      <c r="D223" s="45">
        <f>B223/B222-1</f>
        <v/>
      </c>
      <c r="E223" s="45">
        <f>C223/C222-1</f>
        <v/>
      </c>
      <c r="F223" s="35" t="n"/>
      <c r="G223" s="35" t="n"/>
      <c r="H223" s="33" t="n"/>
      <c r="I223" s="33" t="n"/>
      <c r="J223" s="33" t="n"/>
      <c r="K223" s="33" t="n"/>
      <c r="L223" s="33" t="n"/>
    </row>
    <row r="224">
      <c r="A224" s="36" t="inlineStr">
        <is>
          <t>2025-12-29</t>
        </is>
      </c>
      <c r="B224" s="76" t="n">
        <v>244.25</v>
      </c>
      <c r="C224" s="77" t="n">
        <v>6905.740234375</v>
      </c>
      <c r="D224" s="45">
        <f>B224/B223-1</f>
        <v/>
      </c>
      <c r="E224" s="45">
        <f>C224/C223-1</f>
        <v/>
      </c>
      <c r="F224" s="35" t="n"/>
      <c r="G224" s="35" t="n"/>
      <c r="H224" s="33" t="n"/>
      <c r="I224" s="33" t="n"/>
      <c r="J224" s="33" t="n"/>
      <c r="K224" s="33" t="n"/>
      <c r="L224" s="33" t="n"/>
    </row>
    <row r="225">
      <c r="A225" s="36" t="inlineStr">
        <is>
          <t>2025-12-30</t>
        </is>
      </c>
      <c r="B225" s="76" t="n">
        <v>240.2200012207031</v>
      </c>
      <c r="C225" s="77" t="n">
        <v>6896.240234375</v>
      </c>
      <c r="D225" s="45">
        <f>B225/B224-1</f>
        <v/>
      </c>
      <c r="E225" s="45">
        <f>C225/C224-1</f>
        <v/>
      </c>
      <c r="F225" s="35" t="n"/>
      <c r="G225" s="35" t="n"/>
      <c r="H225" s="33" t="n"/>
      <c r="I225" s="33" t="n"/>
      <c r="J225" s="33" t="n"/>
      <c r="K225" s="33" t="n"/>
      <c r="L225" s="33" t="n"/>
    </row>
    <row r="226">
      <c r="A226" s="36" t="inlineStr">
        <is>
          <t>2025-12-31</t>
        </is>
      </c>
      <c r="B226" s="76" t="n">
        <v>237.3800048828125</v>
      </c>
      <c r="C226" s="77" t="n">
        <v>6845.5</v>
      </c>
      <c r="D226" s="45">
        <f>B226/B225-1</f>
        <v/>
      </c>
      <c r="E226" s="45">
        <f>C226/C225-1</f>
        <v/>
      </c>
      <c r="F226" s="35" t="n"/>
      <c r="G226" s="35" t="n"/>
      <c r="H226" s="33" t="n"/>
      <c r="I226" s="33" t="n"/>
      <c r="J226" s="33" t="n"/>
      <c r="K226" s="33" t="n"/>
      <c r="L226" s="33" t="n"/>
    </row>
    <row r="227">
      <c r="A227" s="36" t="inlineStr">
        <is>
          <t>2026-01-02</t>
        </is>
      </c>
      <c r="B227" s="76" t="n">
        <v>275.239990234375</v>
      </c>
      <c r="C227" s="77" t="n">
        <v>6858.47021484375</v>
      </c>
      <c r="D227" s="45">
        <f>B227/B226-1</f>
        <v/>
      </c>
      <c r="E227" s="45">
        <f>C227/C226-1</f>
        <v/>
      </c>
      <c r="F227" s="35" t="n"/>
      <c r="G227" s="35" t="n"/>
      <c r="H227" s="33" t="n"/>
      <c r="I227" s="33" t="n"/>
      <c r="J227" s="33" t="n"/>
      <c r="K227" s="33" t="n"/>
      <c r="L227" s="33" t="n"/>
    </row>
    <row r="228">
      <c r="A228" s="36" t="inlineStr">
        <is>
          <t>2026-01-05</t>
        </is>
      </c>
      <c r="B228" s="76" t="n">
        <v>274.0799865722656</v>
      </c>
      <c r="C228" s="77" t="n">
        <v>6902.0498046875</v>
      </c>
      <c r="D228" s="45">
        <f>B228/B227-1</f>
        <v/>
      </c>
      <c r="E228" s="45">
        <f>C228/C227-1</f>
        <v/>
      </c>
      <c r="F228" s="35" t="n"/>
      <c r="G228" s="35" t="n"/>
      <c r="H228" s="33" t="n"/>
      <c r="I228" s="33" t="n"/>
      <c r="J228" s="33" t="n"/>
      <c r="K228" s="33" t="n"/>
      <c r="L228" s="33" t="n"/>
    </row>
    <row r="229">
      <c r="A229" s="36" t="inlineStr">
        <is>
          <t>2026-01-06</t>
        </is>
      </c>
      <c r="B229" s="76" t="n">
        <v>349.6300048828125</v>
      </c>
      <c r="C229" s="77" t="n">
        <v>6944.81982421875</v>
      </c>
      <c r="D229" s="45">
        <f>B229/B228-1</f>
        <v/>
      </c>
      <c r="E229" s="45">
        <f>C229/C228-1</f>
        <v/>
      </c>
      <c r="F229" s="35" t="n"/>
      <c r="G229" s="35" t="n"/>
      <c r="H229" s="33" t="n"/>
      <c r="I229" s="33" t="n"/>
      <c r="J229" s="33" t="n"/>
      <c r="K229" s="33" t="n"/>
      <c r="L229" s="33" t="n"/>
    </row>
    <row r="230">
      <c r="A230" s="36" t="inlineStr">
        <is>
          <t>2026-01-07</t>
        </is>
      </c>
      <c r="B230" s="76" t="n">
        <v>353.5599975585938</v>
      </c>
      <c r="C230" s="77" t="n">
        <v>6920.93017578125</v>
      </c>
      <c r="D230" s="45">
        <f>B230/B229-1</f>
        <v/>
      </c>
      <c r="E230" s="45">
        <f>C230/C229-1</f>
        <v/>
      </c>
      <c r="F230" s="35" t="n"/>
      <c r="G230" s="35" t="n"/>
      <c r="H230" s="33" t="n"/>
      <c r="I230" s="33" t="n"/>
      <c r="J230" s="33" t="n"/>
      <c r="K230" s="33" t="n"/>
      <c r="L230" s="33" t="n"/>
    </row>
    <row r="231">
      <c r="A231" s="36" t="inlineStr">
        <is>
          <t>2026-01-08</t>
        </is>
      </c>
      <c r="B231" s="76" t="n">
        <v>334.5400085449219</v>
      </c>
      <c r="C231" s="77" t="n">
        <v>6921.4599609375</v>
      </c>
      <c r="D231" s="45">
        <f>B231/B230-1</f>
        <v/>
      </c>
      <c r="E231" s="45">
        <f>C231/C230-1</f>
        <v/>
      </c>
      <c r="F231" s="35" t="n"/>
      <c r="G231" s="35" t="n"/>
      <c r="H231" s="33" t="n"/>
      <c r="I231" s="33" t="n"/>
      <c r="J231" s="33" t="n"/>
      <c r="K231" s="33" t="n"/>
      <c r="L231" s="33" t="n"/>
    </row>
    <row r="232">
      <c r="A232" s="36" t="inlineStr">
        <is>
          <t>2026-01-09</t>
        </is>
      </c>
      <c r="B232" s="76" t="n">
        <v>377.4100036621094</v>
      </c>
      <c r="C232" s="77" t="n">
        <v>6966.27978515625</v>
      </c>
      <c r="D232" s="45">
        <f>B232/B231-1</f>
        <v/>
      </c>
      <c r="E232" s="45">
        <f>C232/C231-1</f>
        <v/>
      </c>
      <c r="F232" s="35" t="n"/>
      <c r="G232" s="35" t="n"/>
      <c r="H232" s="33" t="n"/>
      <c r="I232" s="33" t="n"/>
      <c r="J232" s="33" t="n"/>
      <c r="K232" s="33" t="n"/>
      <c r="L232" s="33" t="n"/>
    </row>
    <row r="233">
      <c r="A233" s="36" t="inlineStr">
        <is>
          <t>2026-01-12</t>
        </is>
      </c>
      <c r="B233" s="76" t="n">
        <v>389.2699890136719</v>
      </c>
      <c r="C233" s="77" t="n">
        <v>6977.27001953125</v>
      </c>
      <c r="D233" s="45">
        <f>B233/B232-1</f>
        <v/>
      </c>
      <c r="E233" s="45">
        <f>C233/C232-1</f>
        <v/>
      </c>
      <c r="F233" s="35" t="n"/>
      <c r="G233" s="35" t="n"/>
      <c r="H233" s="33" t="n"/>
      <c r="I233" s="33" t="n"/>
      <c r="J233" s="33" t="n"/>
      <c r="K233" s="33" t="n"/>
      <c r="L233" s="33" t="n"/>
    </row>
    <row r="234">
      <c r="A234" s="36" t="inlineStr">
        <is>
          <t>2026-01-13</t>
        </is>
      </c>
      <c r="B234" s="76" t="n">
        <v>389.8099975585938</v>
      </c>
      <c r="C234" s="77" t="n">
        <v>6963.740234375</v>
      </c>
      <c r="D234" s="45">
        <f>B234/B233-1</f>
        <v/>
      </c>
      <c r="E234" s="45">
        <f>C234/C233-1</f>
        <v/>
      </c>
      <c r="F234" s="35" t="n"/>
      <c r="G234" s="35" t="n"/>
      <c r="H234" s="33" t="n"/>
      <c r="I234" s="33" t="n"/>
      <c r="J234" s="33" t="n"/>
      <c r="K234" s="33" t="n"/>
      <c r="L234" s="33" t="n"/>
    </row>
    <row r="235">
      <c r="A235" s="36" t="inlineStr">
        <is>
          <t>2026-01-14</t>
        </is>
      </c>
      <c r="B235" s="76" t="n">
        <v>387.8099975585938</v>
      </c>
      <c r="C235" s="77" t="n">
        <v>6926.60009765625</v>
      </c>
      <c r="D235" s="45">
        <f>B235/B234-1</f>
        <v/>
      </c>
      <c r="E235" s="45">
        <f>C235/C234-1</f>
        <v/>
      </c>
      <c r="F235" s="35" t="n"/>
      <c r="G235" s="35" t="n"/>
      <c r="H235" s="33" t="n"/>
      <c r="I235" s="33" t="n"/>
      <c r="J235" s="33" t="n"/>
      <c r="K235" s="33" t="n"/>
      <c r="L235" s="33" t="n"/>
    </row>
    <row r="236">
      <c r="A236" s="36" t="inlineStr">
        <is>
          <t>2026-01-15</t>
        </is>
      </c>
      <c r="B236" s="76" t="n">
        <v>409.239990234375</v>
      </c>
      <c r="C236" s="77" t="n">
        <v>6944.47021484375</v>
      </c>
      <c r="D236" s="45">
        <f>B236/B235-1</f>
        <v/>
      </c>
      <c r="E236" s="45">
        <f>C236/C235-1</f>
        <v/>
      </c>
      <c r="F236" s="35" t="n"/>
      <c r="G236" s="35" t="n"/>
      <c r="H236" s="33" t="n"/>
      <c r="I236" s="33" t="n"/>
      <c r="J236" s="33" t="n"/>
      <c r="K236" s="33" t="n"/>
      <c r="L236" s="33" t="n"/>
    </row>
    <row r="237">
      <c r="A237" s="36" t="inlineStr">
        <is>
          <t>2026-01-16</t>
        </is>
      </c>
      <c r="B237" s="76" t="n">
        <v>413.6199951171875</v>
      </c>
      <c r="C237" s="77" t="n">
        <v>6940.009765625</v>
      </c>
      <c r="D237" s="45">
        <f>B237/B236-1</f>
        <v/>
      </c>
      <c r="E237" s="45">
        <f>C237/C236-1</f>
        <v/>
      </c>
      <c r="F237" s="35" t="n"/>
      <c r="G237" s="35" t="n"/>
      <c r="H237" s="33" t="n"/>
      <c r="I237" s="33" t="n"/>
      <c r="J237" s="33" t="n"/>
      <c r="K237" s="33" t="n"/>
      <c r="L237" s="33" t="n"/>
    </row>
    <row r="238">
      <c r="A238" s="36" t="inlineStr">
        <is>
          <t>2026-01-20</t>
        </is>
      </c>
      <c r="B238" s="76" t="n">
        <v>453.1199951171875</v>
      </c>
      <c r="C238" s="77" t="n">
        <v>6796.85986328125</v>
      </c>
      <c r="D238" s="45">
        <f>B238/B237-1</f>
        <v/>
      </c>
      <c r="E238" s="45">
        <f>C238/C237-1</f>
        <v/>
      </c>
      <c r="F238" s="35" t="n"/>
      <c r="G238" s="35" t="n"/>
      <c r="H238" s="33" t="n"/>
      <c r="I238" s="33" t="n"/>
      <c r="J238" s="33" t="n"/>
      <c r="K238" s="33" t="n"/>
      <c r="L238" s="33" t="n"/>
    </row>
    <row r="239">
      <c r="A239" s="36" t="inlineStr">
        <is>
          <t>2026-01-21</t>
        </is>
      </c>
      <c r="B239" s="76" t="n">
        <v>501.2900085449219</v>
      </c>
      <c r="C239" s="77" t="n">
        <v>6875.6201171875</v>
      </c>
      <c r="D239" s="45">
        <f>B239/B238-1</f>
        <v/>
      </c>
      <c r="E239" s="45">
        <f>C239/C238-1</f>
        <v/>
      </c>
      <c r="F239" s="35" t="n"/>
      <c r="G239" s="35" t="n"/>
      <c r="H239" s="33" t="n"/>
      <c r="I239" s="33" t="n"/>
      <c r="J239" s="33" t="n"/>
      <c r="K239" s="33" t="n"/>
      <c r="L239" s="33" t="n"/>
    </row>
    <row r="240">
      <c r="A240" s="36" t="inlineStr">
        <is>
          <t>2026-01-22</t>
        </is>
      </c>
      <c r="B240" s="76" t="n">
        <v>503.4400024414062</v>
      </c>
      <c r="C240" s="77" t="n">
        <v>6913.35009765625</v>
      </c>
      <c r="D240" s="45">
        <f>B240/B239-1</f>
        <v/>
      </c>
      <c r="E240" s="45">
        <f>C240/C239-1</f>
        <v/>
      </c>
      <c r="F240" s="35" t="n"/>
      <c r="G240" s="35" t="n"/>
      <c r="H240" s="33" t="n"/>
      <c r="I240" s="33" t="n"/>
      <c r="J240" s="33" t="n"/>
      <c r="K240" s="33" t="n"/>
      <c r="L240" s="33" t="n"/>
    </row>
    <row r="241">
      <c r="A241" s="36" t="inlineStr">
        <is>
          <t>2026-01-23</t>
        </is>
      </c>
      <c r="B241" s="76" t="n">
        <v>473.8299865722656</v>
      </c>
      <c r="C241" s="77" t="n">
        <v>6915.60986328125</v>
      </c>
      <c r="D241" s="45">
        <f>B241/B240-1</f>
        <v/>
      </c>
      <c r="E241" s="45">
        <f>C241/C240-1</f>
        <v/>
      </c>
      <c r="F241" s="35" t="n"/>
      <c r="G241" s="35" t="n"/>
      <c r="H241" s="33" t="n"/>
      <c r="I241" s="33" t="n"/>
      <c r="J241" s="33" t="n"/>
      <c r="K241" s="33" t="n"/>
      <c r="L241" s="33" t="n"/>
    </row>
    <row r="242">
      <c r="A242" s="36" t="inlineStr">
        <is>
          <t>2026-01-26</t>
        </is>
      </c>
      <c r="B242" s="76" t="n">
        <v>470.7999877929688</v>
      </c>
      <c r="C242" s="77" t="n">
        <v>6950.22998046875</v>
      </c>
      <c r="D242" s="45">
        <f>B242/B241-1</f>
        <v/>
      </c>
      <c r="E242" s="45">
        <f>C242/C241-1</f>
        <v/>
      </c>
      <c r="F242" s="35" t="n"/>
      <c r="G242" s="35" t="n"/>
      <c r="H242" s="33" t="n"/>
      <c r="I242" s="33" t="n"/>
      <c r="J242" s="33" t="n"/>
      <c r="K242" s="33" t="n"/>
      <c r="L242" s="33" t="n"/>
    </row>
    <row r="243">
      <c r="A243" s="36" t="inlineStr">
        <is>
          <t>2026-01-27</t>
        </is>
      </c>
      <c r="B243" s="76" t="n">
        <v>481.4299926757812</v>
      </c>
      <c r="C243" s="77" t="n">
        <v>6978.60009765625</v>
      </c>
      <c r="D243" s="45">
        <f>B243/B242-1</f>
        <v/>
      </c>
      <c r="E243" s="45">
        <f>C243/C242-1</f>
        <v/>
      </c>
      <c r="F243" s="35" t="n"/>
      <c r="G243" s="35" t="n"/>
      <c r="H243" s="33" t="n"/>
      <c r="I243" s="33" t="n"/>
      <c r="J243" s="33" t="n"/>
      <c r="K243" s="33" t="n"/>
      <c r="L243" s="33" t="n"/>
    </row>
    <row r="244">
      <c r="A244" s="36" t="inlineStr">
        <is>
          <t>2026-01-28</t>
        </is>
      </c>
      <c r="B244" s="76" t="n">
        <v>527.6300048828125</v>
      </c>
      <c r="C244" s="77" t="n">
        <v>6978.02978515625</v>
      </c>
      <c r="D244" s="45">
        <f>B244/B243-1</f>
        <v/>
      </c>
      <c r="E244" s="45">
        <f>C244/C243-1</f>
        <v/>
      </c>
      <c r="F244" s="35" t="n"/>
      <c r="G244" s="35" t="n"/>
      <c r="H244" s="33" t="n"/>
      <c r="I244" s="33" t="n"/>
      <c r="J244" s="33" t="n"/>
      <c r="K244" s="33" t="n"/>
      <c r="L244" s="33" t="n"/>
    </row>
    <row r="245">
      <c r="A245" s="36" t="inlineStr">
        <is>
          <t>2026-01-29</t>
        </is>
      </c>
      <c r="B245" s="76" t="n">
        <v>539.2999877929688</v>
      </c>
      <c r="C245" s="77" t="n">
        <v>6969.009765625</v>
      </c>
      <c r="D245" s="45">
        <f>B245/B244-1</f>
        <v/>
      </c>
      <c r="E245" s="45">
        <f>C245/C244-1</f>
        <v/>
      </c>
      <c r="F245" s="35" t="n"/>
      <c r="G245" s="35" t="n"/>
      <c r="H245" s="33" t="n"/>
      <c r="I245" s="33" t="n"/>
      <c r="J245" s="33" t="n"/>
      <c r="K245" s="33" t="n"/>
      <c r="L245" s="33" t="n"/>
    </row>
    <row r="246">
      <c r="A246" s="36" t="inlineStr">
        <is>
          <t>2026-01-30</t>
        </is>
      </c>
      <c r="B246" s="76" t="n">
        <v>576.25</v>
      </c>
      <c r="C246" s="77" t="n">
        <v>6939.02978515625</v>
      </c>
      <c r="D246" s="45">
        <f>B246/B245-1</f>
        <v/>
      </c>
      <c r="E246" s="45">
        <f>C246/C245-1</f>
        <v/>
      </c>
      <c r="F246" s="35" t="n"/>
      <c r="G246" s="35" t="n"/>
      <c r="H246" s="33" t="n"/>
      <c r="I246" s="33" t="n"/>
      <c r="J246" s="33" t="n"/>
      <c r="K246" s="33" t="n"/>
      <c r="L246" s="33" t="n"/>
    </row>
    <row r="247">
      <c r="A247" s="36" t="inlineStr">
        <is>
          <t>2026-02-02</t>
        </is>
      </c>
      <c r="B247" s="76" t="n">
        <v>665.239990234375</v>
      </c>
      <c r="C247" s="77" t="n">
        <v>6976.43994140625</v>
      </c>
      <c r="D247" s="45">
        <f>B247/B246-1</f>
        <v/>
      </c>
      <c r="E247" s="45">
        <f>C247/C246-1</f>
        <v/>
      </c>
      <c r="F247" s="35" t="n"/>
      <c r="G247" s="35" t="n"/>
      <c r="H247" s="33" t="n"/>
      <c r="I247" s="33" t="n"/>
      <c r="J247" s="33" t="n"/>
      <c r="K247" s="33" t="n"/>
      <c r="L247" s="33" t="n"/>
    </row>
    <row r="248">
      <c r="A248" s="36" t="inlineStr">
        <is>
          <t>2026-02-03</t>
        </is>
      </c>
      <c r="B248" s="76" t="n">
        <v>695.510009765625</v>
      </c>
      <c r="C248" s="77" t="n">
        <v>6917.81005859375</v>
      </c>
      <c r="D248" s="45">
        <f>B248/B247-1</f>
        <v/>
      </c>
      <c r="E248" s="45">
        <f>C248/C247-1</f>
        <v/>
      </c>
      <c r="F248" s="35" t="n"/>
      <c r="G248" s="35" t="n"/>
      <c r="H248" s="33" t="n"/>
      <c r="I248" s="33" t="n"/>
      <c r="J248" s="33" t="n"/>
      <c r="K248" s="33" t="n"/>
      <c r="L248" s="33" t="n"/>
    </row>
    <row r="249">
      <c r="A249" s="36" t="inlineStr">
        <is>
          <t>2026-02-04</t>
        </is>
      </c>
      <c r="B249" s="76" t="n">
        <v>584.5499877929688</v>
      </c>
      <c r="C249" s="77" t="n">
        <v>6882.72021484375</v>
      </c>
      <c r="D249" s="45">
        <f>B249/B248-1</f>
        <v/>
      </c>
      <c r="E249" s="45">
        <f>C249/C248-1</f>
        <v/>
      </c>
      <c r="F249" s="35" t="n"/>
      <c r="G249" s="35" t="n"/>
      <c r="H249" s="33" t="n"/>
      <c r="I249" s="33" t="n"/>
      <c r="J249" s="33" t="n"/>
      <c r="K249" s="33" t="n"/>
      <c r="L249" s="33" t="n"/>
    </row>
    <row r="250">
      <c r="A250" s="36" t="inlineStr">
        <is>
          <t>2026-02-05</t>
        </is>
      </c>
      <c r="B250" s="76" t="n">
        <v>576.2000122070312</v>
      </c>
      <c r="C250" s="77" t="n">
        <v>6798.39990234375</v>
      </c>
      <c r="D250" s="45">
        <f>B250/B249-1</f>
        <v/>
      </c>
      <c r="E250" s="45">
        <f>C250/C249-1</f>
        <v/>
      </c>
      <c r="F250" s="35" t="n"/>
      <c r="G250" s="35" t="n"/>
      <c r="H250" s="33" t="n"/>
      <c r="I250" s="33" t="n"/>
      <c r="J250" s="33" t="n"/>
      <c r="K250" s="33" t="n"/>
      <c r="L250" s="33" t="n"/>
    </row>
    <row r="251">
      <c r="A251" s="36" t="inlineStr">
        <is>
          <t>2026-02-06</t>
        </is>
      </c>
      <c r="B251" s="76" t="n">
        <v>597.9500122070312</v>
      </c>
      <c r="C251" s="77" t="n">
        <v>6932.2998046875</v>
      </c>
      <c r="D251" s="45">
        <f>B251/B250-1</f>
        <v/>
      </c>
      <c r="E251" s="45">
        <f>C251/C250-1</f>
        <v/>
      </c>
      <c r="F251" s="35" t="n"/>
      <c r="G251" s="35" t="n"/>
      <c r="H251" s="33" t="n"/>
      <c r="I251" s="33" t="n"/>
      <c r="J251" s="33" t="n"/>
      <c r="K251" s="33" t="n"/>
      <c r="L251" s="33" t="n"/>
    </row>
    <row r="252">
      <c r="A252" s="36" t="inlineStr">
        <is>
          <t>2026-02-09</t>
        </is>
      </c>
      <c r="B252" s="76" t="n">
        <v>583.4000244140625</v>
      </c>
      <c r="C252" s="77" t="n">
        <v>6964.81982421875</v>
      </c>
      <c r="D252" s="45">
        <f>B252/B251-1</f>
        <v/>
      </c>
      <c r="E252" s="45">
        <f>C252/C251-1</f>
        <v/>
      </c>
      <c r="F252" s="35" t="n"/>
      <c r="G252" s="35" t="n"/>
      <c r="H252" s="33" t="n"/>
      <c r="I252" s="33" t="n"/>
      <c r="J252" s="33" t="n"/>
      <c r="K252" s="33" t="n"/>
      <c r="L252" s="33" t="n"/>
    </row>
    <row r="253">
      <c r="A253" s="36" t="inlineStr">
        <is>
          <t>2026-02-10</t>
        </is>
      </c>
      <c r="B253" s="76" t="n">
        <v>541.6400146484375</v>
      </c>
      <c r="C253" s="77" t="n">
        <v>6941.81005859375</v>
      </c>
      <c r="D253" s="45">
        <f>B253/B252-1</f>
        <v/>
      </c>
      <c r="E253" s="45">
        <f>C253/C252-1</f>
        <v/>
      </c>
      <c r="F253" s="35" t="n"/>
      <c r="G253" s="35" t="n"/>
      <c r="H253" s="33" t="n"/>
      <c r="I253" s="33" t="n"/>
      <c r="J253" s="33" t="n"/>
      <c r="K253" s="33" t="n"/>
      <c r="L253" s="33" t="n"/>
    </row>
    <row r="254">
      <c r="A254" s="36" t="inlineStr">
        <is>
          <t>2026-02-11</t>
        </is>
      </c>
      <c r="B254" s="76" t="n">
        <v>599.3400268554688</v>
      </c>
      <c r="C254" s="77" t="n">
        <v>6941.47021484375</v>
      </c>
      <c r="D254" s="45">
        <f>B254/B253-1</f>
        <v/>
      </c>
      <c r="E254" s="45">
        <f>C254/C253-1</f>
        <v/>
      </c>
      <c r="F254" s="35" t="n"/>
      <c r="G254" s="35" t="n"/>
      <c r="H254" s="33" t="n"/>
      <c r="I254" s="33" t="n"/>
      <c r="J254" s="33" t="n"/>
      <c r="K254" s="33" t="n"/>
      <c r="L254" s="33" t="n"/>
    </row>
    <row r="255">
      <c r="A255" s="36" t="inlineStr">
        <is>
          <t>2026-02-12</t>
        </is>
      </c>
      <c r="B255" s="76" t="n">
        <v>630.2899780273438</v>
      </c>
      <c r="C255" s="77" t="n">
        <v>6832.759765625</v>
      </c>
      <c r="D255" s="45">
        <f>B255/B254-1</f>
        <v/>
      </c>
      <c r="E255" s="45">
        <f>C255/C254-1</f>
        <v/>
      </c>
      <c r="F255" s="35" t="n"/>
      <c r="G255" s="35" t="n"/>
      <c r="H255" s="33" t="n"/>
      <c r="I255" s="33" t="n"/>
      <c r="J255" s="33" t="n"/>
      <c r="K255" s="33" t="n"/>
      <c r="L255" s="33" t="n"/>
    </row>
    <row r="256">
      <c r="A256" s="36" t="inlineStr">
        <is>
          <t>2026-02-13</t>
        </is>
      </c>
      <c r="B256" s="76" t="n">
        <v>626.5599975585938</v>
      </c>
      <c r="C256" s="77" t="n">
        <v>6836.169921875</v>
      </c>
      <c r="D256" s="45">
        <f>B256/B255-1</f>
        <v/>
      </c>
      <c r="E256" s="45">
        <f>C256/C255-1</f>
        <v/>
      </c>
      <c r="F256" s="35" t="n"/>
      <c r="G256" s="35" t="n"/>
      <c r="H256" s="33" t="n"/>
      <c r="I256" s="33" t="n"/>
      <c r="J256" s="33" t="n"/>
      <c r="K256" s="33" t="n"/>
      <c r="L256" s="33" t="n"/>
    </row>
    <row r="257">
      <c r="A257" s="36" t="inlineStr">
        <is>
          <t>2026-02-17</t>
        </is>
      </c>
      <c r="B257" s="76" t="n">
        <v>590.5900268554688</v>
      </c>
      <c r="C257" s="77" t="n">
        <v>6843.22021484375</v>
      </c>
      <c r="D257" s="45">
        <f>B257/B256-1</f>
        <v/>
      </c>
      <c r="E257" s="45">
        <f>C257/C256-1</f>
        <v/>
      </c>
      <c r="F257" s="35" t="n"/>
      <c r="G257" s="35" t="n"/>
      <c r="H257" s="33" t="n"/>
      <c r="I257" s="33" t="n"/>
      <c r="J257" s="33" t="n"/>
      <c r="K257" s="33" t="n"/>
      <c r="L257" s="33" t="n"/>
    </row>
    <row r="258">
      <c r="A258" s="36" t="inlineStr">
        <is>
          <t>2026-02-18</t>
        </is>
      </c>
      <c r="B258" s="76" t="n">
        <v>600.4000244140625</v>
      </c>
      <c r="C258" s="77" t="n">
        <v>6881.31005859375</v>
      </c>
      <c r="D258" s="45">
        <f>B258/B257-1</f>
        <v/>
      </c>
      <c r="E258" s="45">
        <f>C258/C257-1</f>
        <v/>
      </c>
      <c r="F258" s="35" t="n"/>
      <c r="G258" s="35" t="n"/>
      <c r="H258" s="33" t="n"/>
      <c r="I258" s="33" t="n"/>
      <c r="J258" s="33" t="n"/>
      <c r="K258" s="33" t="n"/>
      <c r="L258" s="33" t="n"/>
    </row>
    <row r="259">
      <c r="A259" s="36" t="inlineStr">
        <is>
          <t>2026-02-19</t>
        </is>
      </c>
      <c r="B259" s="76" t="n">
        <v>621.0900268554688</v>
      </c>
      <c r="C259" s="77" t="n">
        <v>6861.89013671875</v>
      </c>
      <c r="D259" s="45">
        <f>B259/B258-1</f>
        <v/>
      </c>
      <c r="E259" s="45">
        <f>C259/C258-1</f>
        <v/>
      </c>
      <c r="F259" s="35" t="n"/>
      <c r="G259" s="35" t="n"/>
      <c r="H259" s="33" t="n"/>
      <c r="I259" s="33" t="n"/>
      <c r="J259" s="33" t="n"/>
      <c r="K259" s="33" t="n"/>
      <c r="L259" s="33" t="n"/>
    </row>
    <row r="260">
      <c r="A260" s="36" t="inlineStr">
        <is>
          <t>2026-02-20</t>
        </is>
      </c>
      <c r="B260" s="76" t="n">
        <v>649.969970703125</v>
      </c>
      <c r="C260" s="77" t="n">
        <v>6909.509765625</v>
      </c>
      <c r="D260" s="45">
        <f>B260/B259-1</f>
        <v/>
      </c>
      <c r="E260" s="45">
        <f>C260/C259-1</f>
        <v/>
      </c>
      <c r="F260" s="35" t="n"/>
      <c r="G260" s="35" t="n"/>
      <c r="H260" s="33" t="n"/>
      <c r="I260" s="33" t="n"/>
      <c r="J260" s="33" t="n"/>
      <c r="K260" s="33" t="n"/>
      <c r="L260" s="33" t="n"/>
    </row>
    <row r="261">
      <c r="A261" s="36" t="inlineStr">
        <is>
          <t>2026-02-23</t>
        </is>
      </c>
      <c r="B261" s="76" t="n">
        <v>666.489990234375</v>
      </c>
      <c r="C261" s="77" t="n">
        <v>6837.75</v>
      </c>
      <c r="D261" s="45">
        <f>B261/B260-1</f>
        <v/>
      </c>
      <c r="E261" s="45">
        <f>C261/C260-1</f>
        <v/>
      </c>
      <c r="F261" s="35" t="n"/>
      <c r="G261" s="35" t="n"/>
      <c r="H261" s="33" t="n"/>
      <c r="I261" s="33" t="n"/>
      <c r="J261" s="33" t="n"/>
      <c r="K261" s="33" t="n"/>
      <c r="L261" s="33" t="n"/>
    </row>
    <row r="262">
      <c r="A262" s="36" t="inlineStr">
        <is>
          <t>2026-02-24</t>
        </is>
      </c>
      <c r="B262" s="76" t="n">
        <v>638.52001953125</v>
      </c>
      <c r="C262" s="77" t="n">
        <v>6890.06982421875</v>
      </c>
      <c r="D262" s="45">
        <f>B262/B261-1</f>
        <v/>
      </c>
      <c r="E262" s="45">
        <f>C262/C261-1</f>
        <v/>
      </c>
      <c r="F262" s="35" t="n"/>
      <c r="G262" s="35" t="n"/>
      <c r="H262" s="33" t="n"/>
      <c r="I262" s="33" t="n"/>
      <c r="J262" s="33" t="n"/>
      <c r="K262" s="33" t="n"/>
      <c r="L262" s="33" t="n"/>
    </row>
    <row r="263">
      <c r="A263" s="36" t="inlineStr">
        <is>
          <t>2026-02-25</t>
        </is>
      </c>
      <c r="B263" s="76" t="n">
        <v>632.3800048828125</v>
      </c>
      <c r="C263" s="77" t="n">
        <v>6946.1298828125</v>
      </c>
      <c r="D263" s="45">
        <f>B263/B262-1</f>
        <v/>
      </c>
      <c r="E263" s="45">
        <f>C263/C262-1</f>
        <v/>
      </c>
      <c r="F263" s="35" t="n"/>
      <c r="G263" s="35" t="n"/>
      <c r="H263" s="33" t="n"/>
      <c r="I263" s="33" t="n"/>
      <c r="J263" s="33" t="n"/>
      <c r="K263" s="33" t="n"/>
      <c r="L263" s="33" t="n"/>
    </row>
    <row r="264">
      <c r="A264" s="36" t="inlineStr">
        <is>
          <t>2026-02-26</t>
        </is>
      </c>
      <c r="B264" s="76" t="n">
        <v>651.9000244140625</v>
      </c>
      <c r="C264" s="77" t="n">
        <v>6908.85986328125</v>
      </c>
      <c r="D264" s="45">
        <f>B264/B263-1</f>
        <v/>
      </c>
      <c r="E264" s="45">
        <f>C264/C263-1</f>
        <v/>
      </c>
      <c r="F264" s="35" t="n"/>
      <c r="G264" s="35" t="n"/>
      <c r="H264" s="33" t="n"/>
      <c r="I264" s="33" t="n"/>
      <c r="J264" s="33" t="n"/>
      <c r="K264" s="33" t="n"/>
      <c r="L264" s="33" t="n"/>
    </row>
    <row r="265">
      <c r="A265" s="36" t="inlineStr">
        <is>
          <t>2026-02-27</t>
        </is>
      </c>
      <c r="B265" s="76" t="n">
        <v>635.3599853515625</v>
      </c>
      <c r="C265" s="77" t="n">
        <v>6878.8798828125</v>
      </c>
      <c r="D265" s="45">
        <f>B265/B264-1</f>
        <v/>
      </c>
      <c r="E265" s="45">
        <f>C265/C264-1</f>
        <v/>
      </c>
      <c r="F265" s="35" t="n"/>
      <c r="G265" s="35" t="n"/>
      <c r="H265" s="33" t="n"/>
      <c r="I265" s="33" t="n"/>
      <c r="J265" s="33" t="n"/>
      <c r="K265" s="33" t="n"/>
      <c r="L265" s="33" t="n"/>
    </row>
    <row r="266">
      <c r="A266" s="36" t="inlineStr">
        <is>
          <t>2026-03-02</t>
        </is>
      </c>
      <c r="B266" s="76" t="n">
        <v>619.0800170898438</v>
      </c>
      <c r="C266" s="77" t="n">
        <v>6881.6201171875</v>
      </c>
      <c r="D266" s="45">
        <f>B266/B265-1</f>
        <v/>
      </c>
      <c r="E266" s="45">
        <f>C266/C265-1</f>
        <v/>
      </c>
      <c r="F266" s="35" t="n"/>
      <c r="G266" s="35" t="n"/>
      <c r="H266" s="33" t="n"/>
      <c r="I266" s="33" t="n"/>
      <c r="J266" s="33" t="n"/>
      <c r="K266" s="33" t="n"/>
      <c r="L266" s="33" t="n"/>
    </row>
    <row r="267">
      <c r="A267" s="36" t="inlineStr">
        <is>
          <t>2026-03-03</t>
        </is>
      </c>
      <c r="B267" s="76" t="n">
        <v>565.4099731445312</v>
      </c>
      <c r="C267" s="77" t="n">
        <v>6816.6298828125</v>
      </c>
      <c r="D267" s="45">
        <f>B267/B266-1</f>
        <v/>
      </c>
      <c r="E267" s="45">
        <f>C267/C266-1</f>
        <v/>
      </c>
      <c r="F267" s="35" t="n"/>
      <c r="G267" s="35" t="n"/>
      <c r="H267" s="33" t="n"/>
      <c r="I267" s="33" t="n"/>
      <c r="J267" s="33" t="n"/>
      <c r="K267" s="33" t="n"/>
      <c r="L267" s="33" t="n"/>
    </row>
    <row r="268">
      <c r="A268" s="36" t="inlineStr">
        <is>
          <t>2026-03-04</t>
        </is>
      </c>
      <c r="B268" s="76" t="n">
        <v>599.0599975585938</v>
      </c>
      <c r="C268" s="77" t="n">
        <v>6869.5</v>
      </c>
      <c r="D268" s="45">
        <f>B268/B267-1</f>
        <v/>
      </c>
      <c r="E268" s="45">
        <f>C268/C267-1</f>
        <v/>
      </c>
      <c r="F268" s="35" t="n"/>
      <c r="G268" s="35" t="n"/>
      <c r="H268" s="33" t="n"/>
      <c r="I268" s="33" t="n"/>
      <c r="J268" s="33" t="n"/>
      <c r="K268" s="33" t="n"/>
      <c r="L268" s="33" t="n"/>
    </row>
    <row r="269">
      <c r="A269" s="36" t="inlineStr">
        <is>
          <t>2026-03-05</t>
        </is>
      </c>
      <c r="B269" s="76" t="n">
        <v>565.5900268554688</v>
      </c>
      <c r="C269" s="77" t="n">
        <v>6830.7099609375</v>
      </c>
      <c r="D269" s="45">
        <f>B269/B268-1</f>
        <v/>
      </c>
      <c r="E269" s="45">
        <f>C269/C268-1</f>
        <v/>
      </c>
      <c r="F269" s="35" t="n"/>
      <c r="G269" s="35" t="n"/>
      <c r="H269" s="33" t="n"/>
      <c r="I269" s="33" t="n"/>
      <c r="J269" s="33" t="n"/>
      <c r="K269" s="33" t="n"/>
      <c r="L269" s="33" t="n"/>
    </row>
    <row r="270">
      <c r="A270" s="36" t="inlineStr">
        <is>
          <t>2026-03-06</t>
        </is>
      </c>
      <c r="B270" s="76" t="n">
        <v>527.3300170898438</v>
      </c>
      <c r="C270" s="77" t="n">
        <v>6740.02001953125</v>
      </c>
      <c r="D270" s="45">
        <f>B270/B269-1</f>
        <v/>
      </c>
      <c r="E270" s="45">
        <f>C270/C269-1</f>
        <v/>
      </c>
      <c r="F270" s="35" t="n"/>
      <c r="G270" s="35" t="n"/>
      <c r="H270" s="33" t="n"/>
      <c r="I270" s="33" t="n"/>
      <c r="J270" s="33" t="n"/>
      <c r="K270" s="33" t="n"/>
      <c r="L270" s="33" t="n"/>
    </row>
    <row r="271">
      <c r="A271" s="36" t="inlineStr">
        <is>
          <t>2026-03-09</t>
        </is>
      </c>
      <c r="B271" s="76" t="n">
        <v>588.72998046875</v>
      </c>
      <c r="C271" s="77" t="n">
        <v>6795.990234375</v>
      </c>
      <c r="D271" s="45">
        <f>B271/B270-1</f>
        <v/>
      </c>
      <c r="E271" s="45">
        <f>C271/C270-1</f>
        <v/>
      </c>
      <c r="F271" s="35" t="n"/>
      <c r="G271" s="35" t="n"/>
      <c r="H271" s="33" t="n"/>
      <c r="I271" s="33" t="n"/>
      <c r="J271" s="33" t="n"/>
      <c r="K271" s="33" t="n"/>
      <c r="L271" s="33" t="n"/>
    </row>
    <row r="272">
      <c r="A272" s="36" t="inlineStr">
        <is>
          <t>2026-03-10</t>
        </is>
      </c>
      <c r="B272" s="76" t="n">
        <v>618.8900146484375</v>
      </c>
      <c r="C272" s="77" t="n">
        <v>6781.47998046875</v>
      </c>
      <c r="D272" s="45">
        <f>B272/B271-1</f>
        <v/>
      </c>
      <c r="E272" s="45">
        <f>C272/C271-1</f>
        <v/>
      </c>
      <c r="F272" s="35" t="n"/>
      <c r="G272" s="35" t="n"/>
      <c r="H272" s="33" t="n"/>
      <c r="I272" s="33" t="n"/>
      <c r="J272" s="33" t="n"/>
      <c r="K272" s="33" t="n"/>
      <c r="L272" s="33" t="n"/>
    </row>
    <row r="273">
      <c r="A273" s="36" t="inlineStr">
        <is>
          <t>2026-03-11</t>
        </is>
      </c>
      <c r="B273" s="76" t="n">
        <v>655.4299926757812</v>
      </c>
      <c r="C273" s="77" t="n">
        <v>6775.7998046875</v>
      </c>
      <c r="D273" s="45">
        <f>B273/B272-1</f>
        <v/>
      </c>
      <c r="E273" s="45">
        <f>C273/C272-1</f>
        <v/>
      </c>
      <c r="F273" s="35" t="n"/>
      <c r="G273" s="35" t="n"/>
      <c r="H273" s="33" t="n"/>
      <c r="I273" s="33" t="n"/>
      <c r="J273" s="33" t="n"/>
      <c r="K273" s="33" t="n"/>
      <c r="L273" s="33" t="n"/>
    </row>
    <row r="274">
      <c r="A274" s="36" t="inlineStr">
        <is>
          <t>2026-03-12</t>
        </is>
      </c>
      <c r="B274" s="76" t="n">
        <v>618.8200073242188</v>
      </c>
      <c r="C274" s="77" t="n">
        <v>6672.6201171875</v>
      </c>
      <c r="D274" s="45">
        <f>B274/B273-1</f>
        <v/>
      </c>
      <c r="E274" s="45">
        <f>C274/C273-1</f>
        <v/>
      </c>
      <c r="F274" s="35" t="n"/>
      <c r="G274" s="35" t="n"/>
      <c r="H274" s="33" t="n"/>
      <c r="I274" s="33" t="n"/>
      <c r="J274" s="33" t="n"/>
      <c r="K274" s="33" t="n"/>
      <c r="L274" s="33" t="n"/>
    </row>
    <row r="275">
      <c r="A275" s="36" t="inlineStr">
        <is>
          <t>2026-03-13</t>
        </is>
      </c>
      <c r="B275" s="76" t="n">
        <v>661.6199951171875</v>
      </c>
      <c r="C275" s="77" t="n">
        <v>6632.18994140625</v>
      </c>
      <c r="D275" s="45">
        <f>B275/B274-1</f>
        <v/>
      </c>
      <c r="E275" s="45">
        <f>C275/C274-1</f>
        <v/>
      </c>
      <c r="F275" s="35" t="n"/>
      <c r="G275" s="35" t="n"/>
      <c r="H275" s="33" t="n"/>
      <c r="I275" s="33" t="n"/>
      <c r="J275" s="33" t="n"/>
      <c r="K275" s="33" t="n"/>
      <c r="L275" s="33" t="n"/>
    </row>
    <row r="276">
      <c r="A276" s="36" t="inlineStr">
        <is>
          <t>2026-03-16</t>
        </is>
      </c>
      <c r="B276" s="76" t="n">
        <v>703.6300048828125</v>
      </c>
      <c r="C276" s="77" t="n">
        <v>6699.3798828125</v>
      </c>
      <c r="D276" s="45">
        <f>B276/B275-1</f>
        <v/>
      </c>
      <c r="E276" s="45">
        <f>C276/C275-1</f>
        <v/>
      </c>
      <c r="F276" s="35" t="n"/>
      <c r="G276" s="35" t="n"/>
      <c r="H276" s="33" t="n"/>
      <c r="I276" s="33" t="n"/>
      <c r="J276" s="33" t="n"/>
      <c r="K276" s="33" t="n"/>
      <c r="L276" s="33" t="n"/>
    </row>
    <row r="277">
      <c r="A277" s="36" t="inlineStr">
        <is>
          <t>2026-03-17</t>
        </is>
      </c>
      <c r="B277" s="76" t="n">
        <v>720.1699829101562</v>
      </c>
      <c r="C277" s="77" t="n">
        <v>6716.08984375</v>
      </c>
      <c r="D277" s="45">
        <f>B277/B276-1</f>
        <v/>
      </c>
      <c r="E277" s="45">
        <f>C277/C276-1</f>
        <v/>
      </c>
      <c r="F277" s="35" t="n"/>
      <c r="G277" s="35" t="n"/>
      <c r="H277" s="33" t="n"/>
      <c r="I277" s="33" t="n"/>
      <c r="J277" s="33" t="n"/>
      <c r="K277" s="33" t="n"/>
      <c r="L277" s="33" t="n"/>
    </row>
    <row r="278">
      <c r="A278" s="36" t="inlineStr">
        <is>
          <t>2026-03-18</t>
        </is>
      </c>
      <c r="B278" s="76" t="n">
        <v>753.6900024414062</v>
      </c>
      <c r="C278" s="77" t="n">
        <v>6624.7001953125</v>
      </c>
      <c r="D278" s="45">
        <f>B278/B277-1</f>
        <v/>
      </c>
      <c r="E278" s="45">
        <f>C278/C277-1</f>
        <v/>
      </c>
      <c r="F278" s="35" t="n"/>
      <c r="G278" s="35" t="n"/>
      <c r="H278" s="33" t="n"/>
      <c r="I278" s="33" t="n"/>
      <c r="J278" s="33" t="n"/>
      <c r="K278" s="33" t="n"/>
      <c r="L278" s="33" t="n"/>
    </row>
    <row r="279">
      <c r="A279" s="36" t="inlineStr">
        <is>
          <t>2026-03-19</t>
        </is>
      </c>
      <c r="B279" s="76" t="n">
        <v>772.0900268554688</v>
      </c>
      <c r="C279" s="77" t="n">
        <v>6606.490234375</v>
      </c>
      <c r="D279" s="45">
        <f>B279/B278-1</f>
        <v/>
      </c>
      <c r="E279" s="45">
        <f>C279/C278-1</f>
        <v/>
      </c>
      <c r="F279" s="35" t="n"/>
      <c r="G279" s="35" t="n"/>
      <c r="H279" s="33" t="n"/>
      <c r="I279" s="33" t="n"/>
      <c r="J279" s="33" t="n"/>
      <c r="K279" s="33" t="n"/>
      <c r="L279" s="33" t="n"/>
    </row>
    <row r="280">
      <c r="A280" s="36" t="inlineStr">
        <is>
          <t>2026-03-20</t>
        </is>
      </c>
      <c r="B280" s="76" t="n">
        <v>709.7100219726562</v>
      </c>
      <c r="C280" s="77" t="n">
        <v>6506.47998046875</v>
      </c>
      <c r="D280" s="45">
        <f>B280/B279-1</f>
        <v/>
      </c>
      <c r="E280" s="45">
        <f>C280/C279-1</f>
        <v/>
      </c>
      <c r="F280" s="35" t="n"/>
      <c r="G280" s="35" t="n"/>
      <c r="H280" s="33" t="n"/>
      <c r="I280" s="33" t="n"/>
      <c r="J280" s="33" t="n"/>
      <c r="K280" s="33" t="n"/>
      <c r="L280" s="33" t="n"/>
    </row>
    <row r="281">
      <c r="A281" s="36" t="inlineStr">
        <is>
          <t>2026-03-23</t>
        </is>
      </c>
      <c r="B281" s="76" t="n">
        <v>702.489990234375</v>
      </c>
      <c r="C281" s="77" t="n">
        <v>6581</v>
      </c>
      <c r="D281" s="45">
        <f>B281/B280-1</f>
        <v/>
      </c>
      <c r="E281" s="45">
        <f>C281/C280-1</f>
        <v/>
      </c>
      <c r="F281" s="35" t="n"/>
      <c r="G281" s="35" t="n"/>
      <c r="H281" s="33" t="n"/>
      <c r="I281" s="33" t="n"/>
      <c r="J281" s="33" t="n"/>
      <c r="K281" s="33" t="n"/>
      <c r="L281" s="33" t="n"/>
    </row>
    <row r="282">
      <c r="A282" s="36" t="inlineStr">
        <is>
          <t>2026-03-24</t>
        </is>
      </c>
      <c r="B282" s="76" t="n">
        <v>702.47998046875</v>
      </c>
      <c r="C282" s="77" t="n">
        <v>6556.3701171875</v>
      </c>
      <c r="D282" s="45">
        <f>B282/B281-1</f>
        <v/>
      </c>
      <c r="E282" s="45">
        <f>C282/C281-1</f>
        <v/>
      </c>
      <c r="F282" s="35" t="n"/>
      <c r="G282" s="35" t="n"/>
      <c r="H282" s="33" t="n"/>
      <c r="I282" s="33" t="n"/>
      <c r="J282" s="33" t="n"/>
      <c r="K282" s="33" t="n"/>
      <c r="L282" s="33" t="n"/>
    </row>
    <row r="283">
      <c r="A283" s="36" t="inlineStr">
        <is>
          <t>2026-03-25</t>
        </is>
      </c>
      <c r="B283" s="76" t="n">
        <v>677.8599853515625</v>
      </c>
      <c r="C283" s="77" t="n">
        <v>6591.89990234375</v>
      </c>
      <c r="D283" s="45">
        <f>B283/B282-1</f>
        <v/>
      </c>
      <c r="E283" s="45">
        <f>C283/C282-1</f>
        <v/>
      </c>
      <c r="F283" s="35" t="n"/>
      <c r="G283" s="35" t="n"/>
      <c r="H283" s="33" t="n"/>
      <c r="I283" s="33" t="n"/>
      <c r="J283" s="33" t="n"/>
      <c r="K283" s="33" t="n"/>
      <c r="L283" s="33" t="n"/>
    </row>
    <row r="284">
      <c r="A284" s="36" t="inlineStr">
        <is>
          <t>2026-03-26</t>
        </is>
      </c>
      <c r="B284" s="76" t="n">
        <v>603.1699829101562</v>
      </c>
      <c r="C284" s="77" t="n">
        <v>6477.16015625</v>
      </c>
      <c r="D284" s="45">
        <f>B284/B283-1</f>
        <v/>
      </c>
      <c r="E284" s="45">
        <f>C284/C283-1</f>
        <v/>
      </c>
      <c r="F284" s="35" t="n"/>
      <c r="G284" s="35" t="n"/>
      <c r="H284" s="33" t="n"/>
      <c r="I284" s="33" t="n"/>
      <c r="J284" s="33" t="n"/>
      <c r="K284" s="33" t="n"/>
      <c r="L284" s="33" t="n"/>
    </row>
    <row r="285">
      <c r="A285" s="36" t="inlineStr">
        <is>
          <t>2026-03-27</t>
        </is>
      </c>
      <c r="B285" s="76" t="n">
        <v>615.8300170898438</v>
      </c>
      <c r="C285" s="77" t="n">
        <v>6368.85009765625</v>
      </c>
      <c r="D285" s="45">
        <f>B285/B284-1</f>
        <v/>
      </c>
      <c r="E285" s="45">
        <f>C285/C284-1</f>
        <v/>
      </c>
      <c r="F285" s="35" t="n"/>
      <c r="G285" s="35" t="n"/>
      <c r="H285" s="33" t="n"/>
      <c r="I285" s="33" t="n"/>
      <c r="J285" s="33" t="n"/>
      <c r="K285" s="33" t="n"/>
      <c r="L285" s="33" t="n"/>
    </row>
    <row r="286">
      <c r="A286" s="36" t="inlineStr">
        <is>
          <t>2026-03-30</t>
        </is>
      </c>
      <c r="B286" s="76" t="n">
        <v>572.5</v>
      </c>
      <c r="C286" s="77" t="n">
        <v>6343.72021484375</v>
      </c>
      <c r="D286" s="45">
        <f>B286/B285-1</f>
        <v/>
      </c>
      <c r="E286" s="45">
        <f>C286/C285-1</f>
        <v/>
      </c>
      <c r="F286" s="35" t="n"/>
      <c r="G286" s="35" t="n"/>
      <c r="H286" s="33" t="n"/>
      <c r="I286" s="33" t="n"/>
      <c r="J286" s="33" t="n"/>
      <c r="K286" s="33" t="n"/>
      <c r="L286" s="33" t="n"/>
    </row>
    <row r="287">
      <c r="A287" s="36" t="inlineStr">
        <is>
          <t>2026-03-31</t>
        </is>
      </c>
      <c r="B287" s="76" t="n">
        <v>635.3400268554688</v>
      </c>
      <c r="C287" s="77" t="n">
        <v>6528.52001953125</v>
      </c>
      <c r="D287" s="45">
        <f>B287/B286-1</f>
        <v/>
      </c>
      <c r="E287" s="45">
        <f>C287/C286-1</f>
        <v/>
      </c>
      <c r="F287" s="35" t="n"/>
      <c r="G287" s="35" t="n"/>
      <c r="H287" s="33" t="n"/>
      <c r="I287" s="33" t="n"/>
      <c r="J287" s="33" t="n"/>
      <c r="K287" s="33" t="n"/>
      <c r="L287" s="33" t="n"/>
    </row>
    <row r="288">
      <c r="A288" s="36" t="inlineStr">
        <is>
          <t>2026-04-01</t>
        </is>
      </c>
      <c r="B288" s="76" t="n">
        <v>692.72998046875</v>
      </c>
      <c r="C288" s="77" t="n">
        <v>6575.31982421875</v>
      </c>
      <c r="D288" s="45">
        <f>B288/B287-1</f>
        <v/>
      </c>
      <c r="E288" s="45">
        <f>C288/C287-1</f>
        <v/>
      </c>
      <c r="F288" s="35" t="n"/>
      <c r="G288" s="35" t="n"/>
      <c r="H288" s="33" t="n"/>
      <c r="I288" s="33" t="n"/>
      <c r="J288" s="33" t="n"/>
      <c r="K288" s="33" t="n"/>
      <c r="L288" s="33" t="n"/>
    </row>
    <row r="289">
      <c r="A289" s="36" t="inlineStr">
        <is>
          <t>2026-04-02</t>
        </is>
      </c>
      <c r="B289" s="76" t="n">
        <v>701.5900268554688</v>
      </c>
      <c r="C289" s="77" t="n">
        <v>6582.68994140625</v>
      </c>
      <c r="D289" s="45">
        <f>B289/B288-1</f>
        <v/>
      </c>
      <c r="E289" s="45">
        <f>C289/C288-1</f>
        <v/>
      </c>
      <c r="F289" s="35" t="n"/>
      <c r="G289" s="35" t="n"/>
      <c r="H289" s="33" t="n"/>
      <c r="I289" s="33" t="n"/>
      <c r="J289" s="33" t="n"/>
      <c r="K289" s="33" t="n"/>
      <c r="L289" s="33" t="n"/>
    </row>
    <row r="290">
      <c r="A290" s="36" t="inlineStr">
        <is>
          <t>2026-04-06</t>
        </is>
      </c>
      <c r="B290" s="76" t="n">
        <v>724.6300048828125</v>
      </c>
      <c r="C290" s="77" t="n">
        <v>6611.830078125</v>
      </c>
      <c r="D290" s="45">
        <f>B290/B289-1</f>
        <v/>
      </c>
      <c r="E290" s="45">
        <f>C290/C289-1</f>
        <v/>
      </c>
      <c r="F290" s="35" t="n"/>
      <c r="G290" s="35" t="n"/>
      <c r="H290" s="33" t="n"/>
      <c r="I290" s="33" t="n"/>
      <c r="J290" s="33" t="n"/>
      <c r="K290" s="33" t="n"/>
      <c r="L290" s="33" t="n"/>
    </row>
    <row r="291">
      <c r="A291" s="36" t="inlineStr">
        <is>
          <t>2026-04-07</t>
        </is>
      </c>
      <c r="B291" s="76" t="n">
        <v>710.7999877929688</v>
      </c>
      <c r="C291" s="77" t="n">
        <v>6616.85009765625</v>
      </c>
      <c r="D291" s="45">
        <f>B291/B290-1</f>
        <v/>
      </c>
      <c r="E291" s="45">
        <f>C291/C290-1</f>
        <v/>
      </c>
      <c r="F291" s="35" t="n"/>
      <c r="G291" s="35" t="n"/>
      <c r="H291" s="33" t="n"/>
      <c r="I291" s="33" t="n"/>
      <c r="J291" s="33" t="n"/>
      <c r="K291" s="33" t="n"/>
      <c r="L291" s="33" t="n"/>
    </row>
    <row r="292">
      <c r="A292" s="36" t="inlineStr">
        <is>
          <t>2026-04-08</t>
        </is>
      </c>
      <c r="B292" s="76" t="n">
        <v>780.9000244140625</v>
      </c>
      <c r="C292" s="77" t="n">
        <v>6782.81005859375</v>
      </c>
      <c r="D292" s="45">
        <f>B292/B291-1</f>
        <v/>
      </c>
      <c r="E292" s="45">
        <f>C292/C291-1</f>
        <v/>
      </c>
      <c r="F292" s="35" t="n"/>
      <c r="G292" s="35" t="n"/>
      <c r="H292" s="33" t="n"/>
      <c r="I292" s="33" t="n"/>
      <c r="J292" s="33" t="n"/>
      <c r="K292" s="33" t="n"/>
      <c r="L292" s="33" t="n"/>
    </row>
    <row r="293">
      <c r="A293" s="36" t="inlineStr">
        <is>
          <t>2026-04-09</t>
        </is>
      </c>
      <c r="B293" s="76" t="n">
        <v>851.5700073242188</v>
      </c>
      <c r="C293" s="77" t="n">
        <v>6824.66015625</v>
      </c>
      <c r="D293" s="45">
        <f>B293/B292-1</f>
        <v/>
      </c>
      <c r="E293" s="45">
        <f>C293/C292-1</f>
        <v/>
      </c>
      <c r="F293" s="35" t="n"/>
      <c r="G293" s="35" t="n"/>
      <c r="H293" s="33" t="n"/>
      <c r="I293" s="33" t="n"/>
      <c r="J293" s="33" t="n"/>
      <c r="K293" s="33" t="n"/>
      <c r="L293" s="33" t="n"/>
    </row>
    <row r="294">
      <c r="A294" s="36" t="inlineStr">
        <is>
          <t>2026-04-10</t>
        </is>
      </c>
      <c r="B294" s="76" t="n">
        <v>851.77001953125</v>
      </c>
      <c r="C294" s="77" t="n">
        <v>6816.89013671875</v>
      </c>
      <c r="D294" s="45">
        <f>B294/B293-1</f>
        <v/>
      </c>
      <c r="E294" s="45">
        <f>C294/C293-1</f>
        <v/>
      </c>
      <c r="F294" s="35" t="n"/>
      <c r="G294" s="35" t="n"/>
      <c r="H294" s="33" t="n"/>
      <c r="I294" s="33" t="n"/>
      <c r="J294" s="33" t="n"/>
      <c r="K294" s="33" t="n"/>
      <c r="L294" s="33" t="n"/>
    </row>
    <row r="295">
      <c r="A295" s="36" t="inlineStr">
        <is>
          <t>2026-04-13</t>
        </is>
      </c>
      <c r="B295" s="76" t="n">
        <v>952.5</v>
      </c>
      <c r="C295" s="77" t="n">
        <v>6886.240234375</v>
      </c>
      <c r="D295" s="45">
        <f>B295/B294-1</f>
        <v/>
      </c>
      <c r="E295" s="45">
        <f>C295/C294-1</f>
        <v/>
      </c>
      <c r="F295" s="35" t="n"/>
      <c r="G295" s="35" t="n"/>
      <c r="H295" s="33" t="n"/>
      <c r="I295" s="33" t="n"/>
      <c r="J295" s="33" t="n"/>
      <c r="K295" s="33" t="n"/>
      <c r="L295" s="33" t="n"/>
    </row>
    <row r="296">
      <c r="A296" s="36" t="inlineStr">
        <is>
          <t>2026-04-14</t>
        </is>
      </c>
      <c r="B296" s="76" t="n">
        <v>944.4600219726562</v>
      </c>
      <c r="C296" s="77" t="n">
        <v>6967.3798828125</v>
      </c>
      <c r="D296" s="45">
        <f>B296/B295-1</f>
        <v/>
      </c>
      <c r="E296" s="45">
        <f>C296/C295-1</f>
        <v/>
      </c>
      <c r="F296" s="35" t="n"/>
      <c r="G296" s="35" t="n"/>
      <c r="H296" s="33" t="n"/>
      <c r="I296" s="33" t="n"/>
      <c r="J296" s="33" t="n"/>
      <c r="K296" s="33" t="n"/>
      <c r="L296" s="33" t="n"/>
    </row>
    <row r="297">
      <c r="A297" s="36" t="inlineStr">
        <is>
          <t>2026-04-15</t>
        </is>
      </c>
      <c r="B297" s="76" t="n">
        <v>891.719970703125</v>
      </c>
      <c r="C297" s="77" t="n">
        <v>7022.9501953125</v>
      </c>
      <c r="D297" s="45">
        <f>B297/B296-1</f>
        <v/>
      </c>
      <c r="E297" s="45">
        <f>C297/C296-1</f>
        <v/>
      </c>
      <c r="F297" s="35" t="n"/>
      <c r="G297" s="35" t="n"/>
      <c r="H297" s="33" t="n"/>
      <c r="I297" s="33" t="n"/>
      <c r="J297" s="33" t="n"/>
      <c r="K297" s="33" t="n"/>
      <c r="L297" s="33" t="n"/>
    </row>
    <row r="298">
      <c r="A298" s="36" t="inlineStr">
        <is>
          <t>2026-04-16</t>
        </is>
      </c>
      <c r="B298" s="76" t="n">
        <v>919.469970703125</v>
      </c>
      <c r="C298" s="77" t="n">
        <v>7041.27978515625</v>
      </c>
      <c r="D298" s="45">
        <f>B298/B297-1</f>
        <v/>
      </c>
      <c r="E298" s="45">
        <f>C298/C297-1</f>
        <v/>
      </c>
      <c r="F298" s="35" t="n"/>
      <c r="G298" s="35" t="n"/>
      <c r="H298" s="33" t="n"/>
      <c r="I298" s="33" t="n"/>
      <c r="J298" s="33" t="n"/>
      <c r="K298" s="33" t="n"/>
      <c r="L298" s="33" t="n"/>
    </row>
    <row r="299">
      <c r="A299" s="36" t="inlineStr">
        <is>
          <t>2026-04-17</t>
        </is>
      </c>
      <c r="B299" s="76" t="n">
        <v>920.989990234375</v>
      </c>
      <c r="C299" s="77" t="n">
        <v>7126.06005859375</v>
      </c>
      <c r="D299" s="45">
        <f>B299/B298-1</f>
        <v/>
      </c>
      <c r="E299" s="45">
        <f>C299/C298-1</f>
        <v/>
      </c>
      <c r="F299" s="35" t="n"/>
      <c r="G299" s="35" t="n"/>
      <c r="H299" s="33" t="n"/>
      <c r="I299" s="33" t="n"/>
      <c r="J299" s="33" t="n"/>
      <c r="K299" s="33" t="n"/>
      <c r="L299" s="33" t="n"/>
    </row>
    <row r="300">
      <c r="A300" s="36" t="inlineStr">
        <is>
          <t>2026-04-20</t>
        </is>
      </c>
      <c r="B300" s="76" t="n">
        <v>913.02001953125</v>
      </c>
      <c r="C300" s="77" t="n">
        <v>7109.14013671875</v>
      </c>
      <c r="D300" s="45">
        <f>B300/B299-1</f>
        <v/>
      </c>
      <c r="E300" s="45">
        <f>C300/C299-1</f>
        <v/>
      </c>
      <c r="F300" s="35" t="n"/>
      <c r="G300" s="35" t="n"/>
      <c r="H300" s="33" t="n"/>
      <c r="I300" s="33" t="n"/>
      <c r="J300" s="33" t="n"/>
      <c r="K300" s="33" t="n"/>
      <c r="L300" s="33" t="n"/>
    </row>
    <row r="301">
      <c r="A301" s="36" t="inlineStr">
        <is>
          <t>2026-04-21</t>
        </is>
      </c>
      <c r="B301" s="76" t="n">
        <v>903.489990234375</v>
      </c>
      <c r="C301" s="77" t="n">
        <v>7064.009765625</v>
      </c>
      <c r="D301" s="45">
        <f>B301/B300-1</f>
        <v/>
      </c>
      <c r="E301" s="45">
        <f>C301/C300-1</f>
        <v/>
      </c>
      <c r="F301" s="35" t="n"/>
      <c r="G301" s="35" t="n"/>
      <c r="H301" s="33" t="n"/>
      <c r="I301" s="33" t="n"/>
      <c r="J301" s="33" t="n"/>
      <c r="K301" s="33" t="n"/>
      <c r="L301" s="33" t="n"/>
    </row>
    <row r="302">
      <c r="A302" s="36" t="inlineStr">
        <is>
          <t>2026-04-22</t>
        </is>
      </c>
      <c r="B302" s="76" t="n">
        <v>979.0700073242188</v>
      </c>
      <c r="C302" s="77" t="n">
        <v>7137.89990234375</v>
      </c>
      <c r="D302" s="45">
        <f>B302/B301-1</f>
        <v/>
      </c>
      <c r="E302" s="45">
        <f>C302/C301-1</f>
        <v/>
      </c>
      <c r="F302" s="35" t="n"/>
      <c r="G302" s="35" t="n"/>
      <c r="H302" s="33" t="n"/>
      <c r="I302" s="33" t="n"/>
      <c r="J302" s="33" t="n"/>
      <c r="K302" s="33" t="n"/>
      <c r="L302" s="33" t="n"/>
    </row>
    <row r="303">
      <c r="A303" s="36" t="inlineStr">
        <is>
          <t>2026-04-23</t>
        </is>
      </c>
      <c r="B303" s="76" t="n">
        <v>932.4299926757812</v>
      </c>
      <c r="C303" s="77" t="n">
        <v>7108.39990234375</v>
      </c>
      <c r="D303" s="45">
        <f>B303/B302-1</f>
        <v/>
      </c>
      <c r="E303" s="45">
        <f>C303/C302-1</f>
        <v/>
      </c>
      <c r="F303" s="35" t="n"/>
      <c r="G303" s="35" t="n"/>
      <c r="H303" s="33" t="n"/>
      <c r="I303" s="33" t="n"/>
      <c r="J303" s="33" t="n"/>
      <c r="K303" s="33" t="n"/>
      <c r="L303" s="33" t="n"/>
    </row>
    <row r="304">
      <c r="A304" s="36" t="inlineStr">
        <is>
          <t>2026-04-24</t>
        </is>
      </c>
      <c r="B304" s="76" t="n">
        <v>989.9000244140625</v>
      </c>
      <c r="C304" s="77" t="n">
        <v>7165.080078125</v>
      </c>
      <c r="D304" s="45">
        <f>B304/B303-1</f>
        <v/>
      </c>
      <c r="E304" s="45">
        <f>C304/C303-1</f>
        <v/>
      </c>
      <c r="F304" s="35" t="n"/>
      <c r="G304" s="35" t="n"/>
      <c r="H304" s="33" t="n"/>
      <c r="I304" s="33" t="n"/>
      <c r="J304" s="33" t="n"/>
      <c r="K304" s="33" t="n"/>
      <c r="L304" s="33" t="n"/>
    </row>
    <row r="305">
      <c r="A305" s="36" t="inlineStr">
        <is>
          <t>2026-04-27</t>
        </is>
      </c>
      <c r="B305" s="76" t="n">
        <v>1070.199951171875</v>
      </c>
      <c r="C305" s="77" t="n">
        <v>7173.91015625</v>
      </c>
      <c r="D305" s="45">
        <f>B305/B304-1</f>
        <v/>
      </c>
      <c r="E305" s="45">
        <f>C305/C304-1</f>
        <v/>
      </c>
      <c r="F305" s="35" t="n"/>
      <c r="G305" s="35" t="n"/>
      <c r="H305" s="33" t="n"/>
      <c r="I305" s="33" t="n"/>
      <c r="J305" s="33" t="n"/>
      <c r="K305" s="33" t="n"/>
      <c r="L305" s="33" t="n"/>
    </row>
    <row r="306">
      <c r="A306" s="36" t="inlineStr">
        <is>
          <t>2026-04-28</t>
        </is>
      </c>
      <c r="B306" s="76" t="n">
        <v>1002.349975585938</v>
      </c>
      <c r="C306" s="77" t="n">
        <v>7138.7998046875</v>
      </c>
      <c r="D306" s="45">
        <f>B306/B305-1</f>
        <v/>
      </c>
      <c r="E306" s="45">
        <f>C306/C305-1</f>
        <v/>
      </c>
      <c r="F306" s="35" t="n"/>
      <c r="G306" s="35" t="n"/>
      <c r="H306" s="33" t="n"/>
      <c r="I306" s="33" t="n"/>
      <c r="J306" s="33" t="n"/>
      <c r="K306" s="33" t="n"/>
      <c r="L306" s="33" t="n"/>
    </row>
    <row r="307">
      <c r="A307" s="36" t="inlineStr">
        <is>
          <t>2026-04-29</t>
        </is>
      </c>
      <c r="B307" s="76" t="n">
        <v>1064.2099609375</v>
      </c>
      <c r="C307" s="77" t="n">
        <v>7135.9501953125</v>
      </c>
      <c r="D307" s="45">
        <f>B307/B306-1</f>
        <v/>
      </c>
      <c r="E307" s="45">
        <f>C307/C306-1</f>
        <v/>
      </c>
      <c r="F307" s="35" t="n"/>
      <c r="G307" s="35" t="n"/>
      <c r="H307" s="33" t="n"/>
      <c r="I307" s="33" t="n"/>
      <c r="J307" s="33" t="n"/>
      <c r="K307" s="33" t="n"/>
      <c r="L307" s="33" t="n"/>
    </row>
    <row r="308">
      <c r="A308" s="36" t="inlineStr">
        <is>
          <t>2026-04-30</t>
        </is>
      </c>
      <c r="B308" s="76" t="n">
        <v>1096.510009765625</v>
      </c>
      <c r="C308" s="77" t="n">
        <v>7209.009765625</v>
      </c>
      <c r="D308" s="45">
        <f>B308/B307-1</f>
        <v/>
      </c>
      <c r="E308" s="45">
        <f>C308/C307-1</f>
        <v/>
      </c>
      <c r="F308" s="35" t="n"/>
      <c r="G308" s="35" t="n"/>
      <c r="H308" s="33" t="n"/>
      <c r="I308" s="33" t="n"/>
      <c r="J308" s="33" t="n"/>
      <c r="K308" s="33" t="n"/>
      <c r="L308" s="33" t="n"/>
    </row>
    <row r="309">
      <c r="A309" s="36" t="inlineStr">
        <is>
          <t>2026-05-01</t>
        </is>
      </c>
      <c r="B309" s="76" t="n">
        <v>1187</v>
      </c>
      <c r="C309" s="77" t="n">
        <v>7230.1201171875</v>
      </c>
      <c r="D309" s="45">
        <f>B309/B308-1</f>
        <v/>
      </c>
      <c r="E309" s="45">
        <f>C309/C308-1</f>
        <v/>
      </c>
      <c r="F309" s="35" t="n"/>
      <c r="G309" s="35" t="n"/>
      <c r="H309" s="33" t="n"/>
      <c r="I309" s="33" t="n"/>
      <c r="J309" s="33" t="n"/>
      <c r="K309" s="33" t="n"/>
      <c r="L309" s="33" t="n"/>
    </row>
    <row r="310">
      <c r="A310" s="36" t="inlineStr">
        <is>
          <t>2026-05-04</t>
        </is>
      </c>
      <c r="B310" s="76" t="n">
        <v>1255.859985351562</v>
      </c>
      <c r="C310" s="77" t="n">
        <v>7200.75</v>
      </c>
      <c r="D310" s="45">
        <f>B310/B309-1</f>
        <v/>
      </c>
      <c r="E310" s="45">
        <f>C310/C309-1</f>
        <v/>
      </c>
      <c r="F310" s="35" t="n"/>
      <c r="G310" s="35" t="n"/>
      <c r="H310" s="33" t="n"/>
      <c r="I310" s="33" t="n"/>
      <c r="J310" s="33" t="n"/>
      <c r="K310" s="33" t="n"/>
      <c r="L310" s="33" t="n"/>
    </row>
    <row r="311">
      <c r="A311" s="36" t="inlineStr">
        <is>
          <t>2026-05-05</t>
        </is>
      </c>
      <c r="B311" s="76" t="n">
        <v>1406.319946289062</v>
      </c>
      <c r="C311" s="77" t="n">
        <v>7259.22021484375</v>
      </c>
      <c r="D311" s="45">
        <f>B311/B310-1</f>
        <v/>
      </c>
      <c r="E311" s="45">
        <f>C311/C310-1</f>
        <v/>
      </c>
      <c r="F311" s="35" t="n"/>
      <c r="G311" s="35" t="n"/>
      <c r="H311" s="33" t="n"/>
      <c r="I311" s="33" t="n"/>
      <c r="J311" s="33" t="n"/>
      <c r="K311" s="33" t="n"/>
      <c r="L311" s="33" t="n"/>
    </row>
    <row r="312">
      <c r="A312" s="36" t="inlineStr">
        <is>
          <t>2026-05-06</t>
        </is>
      </c>
      <c r="B312" s="76" t="n">
        <v>1409.97998046875</v>
      </c>
      <c r="C312" s="77" t="n">
        <v>7365.1201171875</v>
      </c>
      <c r="D312" s="45">
        <f>B312/B311-1</f>
        <v/>
      </c>
      <c r="E312" s="45">
        <f>C312/C311-1</f>
        <v/>
      </c>
      <c r="F312" s="35" t="n"/>
      <c r="G312" s="35" t="n"/>
      <c r="H312" s="33" t="n"/>
      <c r="I312" s="33" t="n"/>
      <c r="J312" s="33" t="n"/>
      <c r="K312" s="33" t="n"/>
      <c r="L312" s="33" t="n"/>
    </row>
    <row r="313">
      <c r="A313" s="36" t="inlineStr">
        <is>
          <t>2026-05-07</t>
        </is>
      </c>
      <c r="B313" s="76" t="n">
        <v>1339.9599609375</v>
      </c>
      <c r="C313" s="77" t="n">
        <v>7337.10986328125</v>
      </c>
      <c r="D313" s="45">
        <f>B313/B312-1</f>
        <v/>
      </c>
      <c r="E313" s="45">
        <f>C313/C312-1</f>
        <v/>
      </c>
      <c r="F313" s="35" t="n"/>
      <c r="G313" s="35" t="n"/>
      <c r="H313" s="33" t="n"/>
      <c r="I313" s="33" t="n"/>
      <c r="J313" s="33" t="n"/>
      <c r="K313" s="33" t="n"/>
      <c r="L313" s="33" t="n"/>
    </row>
    <row r="314">
      <c r="A314" s="36" t="inlineStr">
        <is>
          <t>2026-05-08</t>
        </is>
      </c>
      <c r="B314" s="76" t="n">
        <v>1562.339965820312</v>
      </c>
      <c r="C314" s="77" t="n">
        <v>7398.93017578125</v>
      </c>
      <c r="D314" s="45">
        <f>B314/B313-1</f>
        <v/>
      </c>
      <c r="E314" s="45">
        <f>C314/C313-1</f>
        <v/>
      </c>
      <c r="F314" s="35" t="n"/>
      <c r="G314" s="35" t="n"/>
      <c r="H314" s="33" t="n"/>
      <c r="I314" s="33" t="n"/>
      <c r="J314" s="33" t="n"/>
      <c r="K314" s="33" t="n"/>
      <c r="L314" s="33" t="n"/>
    </row>
    <row r="315">
      <c r="A315" s="36" t="inlineStr">
        <is>
          <t>2026-05-11</t>
        </is>
      </c>
      <c r="B315" s="76" t="n">
        <v>1547.56005859375</v>
      </c>
      <c r="C315" s="77" t="n">
        <v>7412.83984375</v>
      </c>
      <c r="D315" s="45">
        <f>B315/B314-1</f>
        <v/>
      </c>
      <c r="E315" s="45">
        <f>C315/C314-1</f>
        <v/>
      </c>
      <c r="F315" s="35" t="n"/>
      <c r="G315" s="35" t="n"/>
      <c r="H315" s="33" t="n"/>
      <c r="I315" s="33" t="n"/>
      <c r="J315" s="33" t="n"/>
      <c r="K315" s="33" t="n"/>
      <c r="L315" s="33" t="n"/>
    </row>
    <row r="316">
      <c r="A316" s="36" t="inlineStr">
        <is>
          <t>2026-05-12</t>
        </is>
      </c>
      <c r="B316" s="76" t="n">
        <v>1452.02001953125</v>
      </c>
      <c r="C316" s="77" t="n">
        <v>7400.9599609375</v>
      </c>
      <c r="D316" s="45">
        <f>B316/B315-1</f>
        <v/>
      </c>
      <c r="E316" s="45">
        <f>C316/C315-1</f>
        <v/>
      </c>
      <c r="F316" s="35" t="n"/>
      <c r="G316" s="35" t="n"/>
      <c r="H316" s="33" t="n"/>
      <c r="I316" s="33" t="n"/>
      <c r="J316" s="33" t="n"/>
      <c r="K316" s="33" t="n"/>
      <c r="L316" s="33" t="n"/>
    </row>
    <row r="317">
      <c r="A317" s="36" t="inlineStr">
        <is>
          <t>2026-05-13</t>
        </is>
      </c>
      <c r="B317" s="76" t="n">
        <v>1447.22998046875</v>
      </c>
      <c r="C317" s="77" t="n">
        <v>7444.25</v>
      </c>
      <c r="D317" s="45">
        <f>B317/B316-1</f>
        <v/>
      </c>
      <c r="E317" s="45">
        <f>C317/C316-1</f>
        <v/>
      </c>
      <c r="F317" s="35" t="n"/>
      <c r="G317" s="35" t="n"/>
      <c r="H317" s="33" t="n"/>
      <c r="I317" s="33" t="n"/>
      <c r="J317" s="33" t="n"/>
      <c r="K317" s="33" t="n"/>
      <c r="L317" s="33" t="n"/>
    </row>
    <row r="318">
      <c r="A318" s="36" t="inlineStr">
        <is>
          <t>2026-05-14</t>
        </is>
      </c>
      <c r="B318" s="76" t="n">
        <v>1382.719970703125</v>
      </c>
      <c r="C318" s="77" t="n">
        <v>7501.240234375</v>
      </c>
      <c r="D318" s="45">
        <f>B318/B317-1</f>
        <v/>
      </c>
      <c r="E318" s="45">
        <f>C318/C317-1</f>
        <v/>
      </c>
      <c r="F318" s="35" t="n"/>
      <c r="G318" s="35" t="n"/>
      <c r="H318" s="33" t="n"/>
      <c r="I318" s="33" t="n"/>
      <c r="J318" s="33" t="n"/>
      <c r="K318" s="33" t="n"/>
      <c r="L318" s="33" t="n"/>
    </row>
    <row r="319">
      <c r="A319" s="36" t="inlineStr">
        <is>
          <t>2026-05-15</t>
        </is>
      </c>
      <c r="B319" s="76" t="n">
        <v>1407.609985351562</v>
      </c>
      <c r="C319" s="77" t="n">
        <v>7408.5</v>
      </c>
      <c r="D319" s="45">
        <f>B319/B318-1</f>
        <v/>
      </c>
      <c r="E319" s="45">
        <f>C319/C318-1</f>
        <v/>
      </c>
      <c r="F319" s="35" t="n"/>
      <c r="G319" s="35" t="n"/>
      <c r="H319" s="33" t="n"/>
      <c r="I319" s="33" t="n"/>
      <c r="J319" s="33" t="n"/>
      <c r="K319" s="33" t="n"/>
      <c r="L319" s="33" t="n"/>
    </row>
    <row r="320">
      <c r="A320" s="36" t="inlineStr">
        <is>
          <t>2026-05-18</t>
        </is>
      </c>
      <c r="B320" s="76" t="n">
        <v>1333.010009765625</v>
      </c>
      <c r="C320" s="77" t="n">
        <v>7403.0498046875</v>
      </c>
      <c r="D320" s="45">
        <f>B320/B319-1</f>
        <v/>
      </c>
      <c r="E320" s="45">
        <f>C320/C319-1</f>
        <v/>
      </c>
      <c r="F320" s="35" t="n"/>
      <c r="G320" s="35" t="n"/>
      <c r="H320" s="33" t="n"/>
      <c r="I320" s="33" t="n"/>
      <c r="J320" s="33" t="n"/>
      <c r="K320" s="33" t="n"/>
      <c r="L320" s="33" t="n"/>
    </row>
    <row r="321">
      <c r="A321" s="36" t="inlineStr">
        <is>
          <t>2026-05-19</t>
        </is>
      </c>
      <c r="B321" s="76" t="n">
        <v>1383.2900390625</v>
      </c>
      <c r="C321" s="77" t="n">
        <v>7353.60986328125</v>
      </c>
      <c r="D321" s="45">
        <f>B321/B320-1</f>
        <v/>
      </c>
      <c r="E321" s="45">
        <f>C321/C320-1</f>
        <v/>
      </c>
      <c r="F321" s="35" t="n"/>
      <c r="G321" s="35" t="n"/>
      <c r="H321" s="33" t="n"/>
      <c r="I321" s="33" t="n"/>
      <c r="J321" s="33" t="n"/>
      <c r="K321" s="33" t="n"/>
      <c r="L321" s="33" t="n"/>
    </row>
    <row r="322">
      <c r="A322" s="36" t="inlineStr">
        <is>
          <t>2026-05-20</t>
        </is>
      </c>
      <c r="B322" s="76" t="n">
        <v>1392.56005859375</v>
      </c>
      <c r="C322" s="77" t="n">
        <v>7432.97021484375</v>
      </c>
      <c r="D322" s="45">
        <f>B322/B321-1</f>
        <v/>
      </c>
      <c r="E322" s="45">
        <f>C322/C321-1</f>
        <v/>
      </c>
      <c r="F322" s="35" t="n"/>
      <c r="G322" s="35" t="n"/>
      <c r="H322" s="33" t="n"/>
      <c r="I322" s="33" t="n"/>
      <c r="J322" s="33" t="n"/>
      <c r="K322" s="33" t="n"/>
      <c r="L322" s="33" t="n"/>
    </row>
    <row r="323">
      <c r="A323" s="36" t="inlineStr">
        <is>
          <t>2026-05-21</t>
        </is>
      </c>
      <c r="B323" s="76" t="n">
        <v>1542.239990234375</v>
      </c>
      <c r="C323" s="77" t="n">
        <v>7445.72021484375</v>
      </c>
      <c r="D323" s="45">
        <f>B323/B322-1</f>
        <v/>
      </c>
      <c r="E323" s="45">
        <f>C323/C322-1</f>
        <v/>
      </c>
      <c r="F323" s="35" t="n"/>
      <c r="G323" s="35" t="n"/>
      <c r="H323" s="33" t="n"/>
      <c r="I323" s="33" t="n"/>
      <c r="J323" s="33" t="n"/>
      <c r="K323" s="33" t="n"/>
      <c r="L323" s="33" t="n"/>
    </row>
    <row r="324">
      <c r="A324" s="36" t="inlineStr">
        <is>
          <t>2026-05-22</t>
        </is>
      </c>
      <c r="B324" s="76" t="n">
        <v>1478.68994140625</v>
      </c>
      <c r="C324" s="77" t="n">
        <v>7473.47021484375</v>
      </c>
      <c r="D324" s="45">
        <f>B324/B323-1</f>
        <v/>
      </c>
      <c r="E324" s="45">
        <f>C324/C323-1</f>
        <v/>
      </c>
      <c r="F324" s="35" t="n"/>
      <c r="G324" s="35" t="n"/>
      <c r="H324" s="33" t="n"/>
      <c r="I324" s="33" t="n"/>
      <c r="J324" s="33" t="n"/>
      <c r="K324" s="33" t="n"/>
      <c r="L324" s="33" t="n"/>
    </row>
    <row r="325">
      <c r="A325" s="36" t="inlineStr">
        <is>
          <t>2026-05-26</t>
        </is>
      </c>
      <c r="B325" s="76" t="n">
        <v>1589.550048828125</v>
      </c>
      <c r="C325" s="77" t="n">
        <v>7519.1201171875</v>
      </c>
      <c r="D325" s="45">
        <f>B325/B324-1</f>
        <v/>
      </c>
      <c r="E325" s="45">
        <f>C325/C324-1</f>
        <v/>
      </c>
      <c r="F325" s="35" t="n"/>
      <c r="G325" s="35" t="n"/>
      <c r="H325" s="33" t="n"/>
      <c r="I325" s="33" t="n"/>
      <c r="J325" s="33" t="n"/>
      <c r="K325" s="33" t="n"/>
      <c r="L325" s="33" t="n"/>
    </row>
    <row r="326">
      <c r="A326" s="36" t="inlineStr">
        <is>
          <t>2026-05-27</t>
        </is>
      </c>
      <c r="B326" s="76" t="n">
        <v>1589.93994140625</v>
      </c>
      <c r="C326" s="77" t="n">
        <v>7520.35986328125</v>
      </c>
      <c r="D326" s="45">
        <f>B326/B325-1</f>
        <v/>
      </c>
      <c r="E326" s="45">
        <f>C326/C325-1</f>
        <v/>
      </c>
      <c r="F326" s="35" t="n"/>
      <c r="G326" s="35" t="n"/>
      <c r="H326" s="33" t="n"/>
      <c r="I326" s="33" t="n"/>
      <c r="J326" s="33" t="n"/>
      <c r="K326" s="33" t="n"/>
      <c r="L326" s="33" t="n"/>
    </row>
    <row r="327">
      <c r="A327" s="36" t="inlineStr">
        <is>
          <t>2026-05-28</t>
        </is>
      </c>
      <c r="B327" s="76" t="n">
        <v>1641.640014648438</v>
      </c>
      <c r="C327" s="77" t="n">
        <v>7563.6298828125</v>
      </c>
      <c r="D327" s="45">
        <f>B327/B326-1</f>
        <v/>
      </c>
      <c r="E327" s="45">
        <f>C327/C326-1</f>
        <v/>
      </c>
      <c r="F327" s="35" t="n"/>
      <c r="G327" s="35" t="n"/>
      <c r="H327" s="33" t="n"/>
      <c r="I327" s="33" t="n"/>
      <c r="J327" s="33" t="n"/>
      <c r="K327" s="33" t="n"/>
      <c r="L327" s="33" t="n"/>
    </row>
    <row r="328">
      <c r="A328" s="36" t="inlineStr">
        <is>
          <t>2026-05-29</t>
        </is>
      </c>
      <c r="B328" s="76" t="n">
        <v>1694.97998046875</v>
      </c>
      <c r="C328" s="77" t="n">
        <v>7580.06005859375</v>
      </c>
      <c r="D328" s="45">
        <f>B328/B327-1</f>
        <v/>
      </c>
      <c r="E328" s="45">
        <f>C328/C327-1</f>
        <v/>
      </c>
      <c r="F328" s="35" t="n"/>
      <c r="G328" s="35" t="n"/>
      <c r="H328" s="33" t="n"/>
      <c r="I328" s="33" t="n"/>
      <c r="J328" s="33" t="n"/>
      <c r="K328" s="33" t="n"/>
      <c r="L328" s="33" t="n"/>
    </row>
    <row r="329">
      <c r="A329" s="36" t="inlineStr">
        <is>
          <t>2026-06-01</t>
        </is>
      </c>
      <c r="B329" s="76" t="n">
        <v>1761.430053710938</v>
      </c>
      <c r="C329" s="77" t="n">
        <v>7599.9599609375</v>
      </c>
      <c r="D329" s="45">
        <f>B329/B328-1</f>
        <v/>
      </c>
      <c r="E329" s="45">
        <f>C329/C328-1</f>
        <v/>
      </c>
      <c r="F329" s="35" t="n"/>
      <c r="G329" s="35" t="n"/>
      <c r="H329" s="33" t="n"/>
      <c r="I329" s="33" t="n"/>
      <c r="J329" s="33" t="n"/>
      <c r="K329" s="33" t="n"/>
      <c r="L329" s="33" t="n"/>
    </row>
    <row r="330">
      <c r="A330" s="36" t="inlineStr">
        <is>
          <t>2026-06-02</t>
        </is>
      </c>
      <c r="B330" s="76" t="n">
        <v>1716.359985351562</v>
      </c>
      <c r="C330" s="77" t="n">
        <v>7609.77978515625</v>
      </c>
      <c r="D330" s="45">
        <f>B330/B329-1</f>
        <v/>
      </c>
      <c r="E330" s="45">
        <f>C330/C329-1</f>
        <v/>
      </c>
      <c r="F330" s="35" t="n"/>
      <c r="G330" s="35" t="n"/>
      <c r="H330" s="33" t="n"/>
      <c r="I330" s="33" t="n"/>
      <c r="J330" s="33" t="n"/>
      <c r="K330" s="33" t="n"/>
      <c r="L330" s="33" t="n"/>
    </row>
    <row r="331">
      <c r="A331" s="36" t="inlineStr">
        <is>
          <t>2026-06-03</t>
        </is>
      </c>
      <c r="B331" s="76" t="n">
        <v>1831.5</v>
      </c>
      <c r="C331" s="77" t="n">
        <v>7553.68017578125</v>
      </c>
      <c r="D331" s="45">
        <f>B331/B330-1</f>
        <v/>
      </c>
      <c r="E331" s="45">
        <f>C331/C330-1</f>
        <v/>
      </c>
      <c r="F331" s="35" t="n"/>
      <c r="G331" s="35" t="n"/>
      <c r="H331" s="33" t="n"/>
      <c r="I331" s="33" t="n"/>
      <c r="J331" s="33" t="n"/>
      <c r="K331" s="33" t="n"/>
      <c r="L331" s="33" t="n"/>
    </row>
    <row r="332">
      <c r="A332" s="36" t="inlineStr">
        <is>
          <t>2026-06-04</t>
        </is>
      </c>
      <c r="B332" s="76" t="n">
        <v>1759.680053710938</v>
      </c>
      <c r="C332" s="77" t="n">
        <v>7584.31005859375</v>
      </c>
      <c r="D332" s="45">
        <f>B332/B331-1</f>
        <v/>
      </c>
      <c r="E332" s="45">
        <f>C332/C331-1</f>
        <v/>
      </c>
      <c r="F332" s="35" t="n"/>
      <c r="G332" s="35" t="n"/>
      <c r="H332" s="33" t="n"/>
      <c r="I332" s="33" t="n"/>
      <c r="J332" s="33" t="n"/>
      <c r="K332" s="33" t="n"/>
      <c r="L332" s="33" t="n"/>
    </row>
    <row r="333">
      <c r="A333" s="36" t="inlineStr">
        <is>
          <t>2026-06-05</t>
        </is>
      </c>
      <c r="B333" s="76" t="n">
        <v>1559.319946289062</v>
      </c>
      <c r="C333" s="77" t="n">
        <v>7383.740234375</v>
      </c>
      <c r="D333" s="45">
        <f>B333/B332-1</f>
        <v/>
      </c>
      <c r="E333" s="45">
        <f>C333/C332-1</f>
        <v/>
      </c>
      <c r="F333" s="35" t="n"/>
      <c r="G333" s="35" t="n"/>
      <c r="H333" s="33" t="n"/>
      <c r="I333" s="33" t="n"/>
      <c r="J333" s="33" t="n"/>
      <c r="K333" s="33" t="n"/>
      <c r="L333" s="33" t="n"/>
    </row>
    <row r="334">
      <c r="A334" s="36" t="inlineStr">
        <is>
          <t>2026-06-08</t>
        </is>
      </c>
      <c r="B334" s="76" t="n">
        <v>1642</v>
      </c>
      <c r="C334" s="77" t="n">
        <v>7405.72998046875</v>
      </c>
      <c r="D334" s="45">
        <f>B334/B333-1</f>
        <v/>
      </c>
      <c r="E334" s="45">
        <f>C334/C333-1</f>
        <v/>
      </c>
      <c r="F334" s="35" t="n"/>
      <c r="G334" s="35" t="n"/>
      <c r="H334" s="33" t="n"/>
      <c r="I334" s="33" t="n"/>
      <c r="J334" s="33" t="n"/>
      <c r="K334" s="33" t="n"/>
      <c r="L334" s="33" t="n"/>
    </row>
    <row r="335">
      <c r="A335" s="36" t="inlineStr">
        <is>
          <t>2026-06-09</t>
        </is>
      </c>
      <c r="B335" s="76" t="n">
        <v>1646.5400390625</v>
      </c>
      <c r="C335" s="77" t="n">
        <v>7386.64990234375</v>
      </c>
      <c r="D335" s="45">
        <f>B335/B334-1</f>
        <v/>
      </c>
      <c r="E335" s="45">
        <f>C335/C334-1</f>
        <v/>
      </c>
      <c r="F335" s="35" t="n"/>
      <c r="G335" s="35" t="n"/>
      <c r="H335" s="33" t="n"/>
      <c r="I335" s="33" t="n"/>
      <c r="J335" s="33" t="n"/>
      <c r="K335" s="33" t="n"/>
      <c r="L335" s="33" t="n"/>
    </row>
    <row r="336">
      <c r="A336" s="36" t="inlineStr">
        <is>
          <t>2026-06-10</t>
        </is>
      </c>
      <c r="B336" s="76" t="n">
        <v>1643.22998046875</v>
      </c>
      <c r="C336" s="77" t="n">
        <v>7266.990234375</v>
      </c>
      <c r="D336" s="45">
        <f>B336/B335-1</f>
        <v/>
      </c>
      <c r="E336" s="45">
        <f>C336/C335-1</f>
        <v/>
      </c>
      <c r="F336" s="35" t="n"/>
      <c r="G336" s="35" t="n"/>
      <c r="H336" s="33" t="n"/>
      <c r="I336" s="33" t="n"/>
      <c r="J336" s="33" t="n"/>
      <c r="K336" s="33" t="n"/>
      <c r="L336" s="33" t="n"/>
    </row>
    <row r="337">
      <c r="A337" s="36" t="inlineStr">
        <is>
          <t>2026-06-11</t>
        </is>
      </c>
      <c r="B337" s="76" t="n">
        <v>1881.510009765625</v>
      </c>
      <c r="C337" s="77" t="n">
        <v>7394.2998046875</v>
      </c>
      <c r="D337" s="45">
        <f>B337/B336-1</f>
        <v/>
      </c>
      <c r="E337" s="45">
        <f>C337/C336-1</f>
        <v/>
      </c>
      <c r="F337" s="35" t="n"/>
      <c r="G337" s="35" t="n"/>
      <c r="H337" s="33" t="n"/>
      <c r="I337" s="33" t="n"/>
      <c r="J337" s="33" t="n"/>
      <c r="K337" s="33" t="n"/>
      <c r="L337" s="33" t="n"/>
    </row>
    <row r="338">
      <c r="A338" s="36" t="inlineStr">
        <is>
          <t>2026-06-12</t>
        </is>
      </c>
      <c r="B338" s="76" t="n">
        <v>1980.099975585938</v>
      </c>
      <c r="C338" s="77" t="n">
        <v>7431.4599609375</v>
      </c>
      <c r="D338" s="45">
        <f>B338/B337-1</f>
        <v/>
      </c>
      <c r="E338" s="45">
        <f>C338/C337-1</f>
        <v/>
      </c>
      <c r="F338" s="35" t="n"/>
      <c r="G338" s="35" t="n"/>
      <c r="H338" s="33" t="n"/>
      <c r="I338" s="33" t="n"/>
      <c r="J338" s="33" t="n"/>
      <c r="K338" s="33" t="n"/>
      <c r="L338" s="33" t="n"/>
    </row>
    <row r="339">
      <c r="A339" s="36" t="inlineStr">
        <is>
          <t>2026-06-15</t>
        </is>
      </c>
      <c r="B339" s="76" t="n">
        <v>2107.860107421875</v>
      </c>
      <c r="C339" s="77" t="n">
        <v>7554.2900390625</v>
      </c>
      <c r="D339" s="45">
        <f>B339/B338-1</f>
        <v/>
      </c>
      <c r="E339" s="45">
        <f>C339/C338-1</f>
        <v/>
      </c>
      <c r="F339" s="35" t="n"/>
      <c r="G339" s="35" t="n"/>
      <c r="H339" s="33" t="n"/>
      <c r="I339" s="33" t="n"/>
      <c r="J339" s="33" t="n"/>
      <c r="K339" s="33" t="n"/>
      <c r="L339" s="33" t="n"/>
    </row>
    <row r="340">
      <c r="A340" s="36" t="inlineStr">
        <is>
          <t>2026-06-16</t>
        </is>
      </c>
      <c r="B340" s="76" t="n">
        <v>1991.550048828125</v>
      </c>
      <c r="C340" s="77" t="n">
        <v>7511.35009765625</v>
      </c>
      <c r="D340" s="45">
        <f>B340/B339-1</f>
        <v/>
      </c>
      <c r="E340" s="45">
        <f>C340/C339-1</f>
        <v/>
      </c>
      <c r="F340" s="35" t="n"/>
      <c r="G340" s="35" t="n"/>
      <c r="H340" s="33" t="n"/>
      <c r="I340" s="33" t="n"/>
      <c r="J340" s="33" t="n"/>
      <c r="K340" s="33" t="n"/>
      <c r="L340" s="33" t="n"/>
    </row>
    <row r="341">
      <c r="A341" s="36" t="inlineStr">
        <is>
          <t>2026-06-17</t>
        </is>
      </c>
      <c r="B341" s="76" t="n">
        <v>1958.800048828125</v>
      </c>
      <c r="C341" s="77" t="n">
        <v>7420.10009765625</v>
      </c>
      <c r="D341" s="45">
        <f>B341/B340-1</f>
        <v/>
      </c>
      <c r="E341" s="45">
        <f>C341/C340-1</f>
        <v/>
      </c>
      <c r="F341" s="35" t="n"/>
      <c r="G341" s="35" t="n"/>
      <c r="H341" s="33" t="n"/>
      <c r="I341" s="33" t="n"/>
      <c r="J341" s="33" t="n"/>
      <c r="K341" s="33" t="n"/>
      <c r="L341" s="33" t="n"/>
    </row>
    <row r="342">
      <c r="A342" s="36" t="inlineStr">
        <is>
          <t>2026-06-18</t>
        </is>
      </c>
      <c r="B342" s="76" t="n">
        <v>2184.75</v>
      </c>
      <c r="C342" s="77" t="n">
        <v>7500.580078125</v>
      </c>
      <c r="D342" s="45">
        <f>B342/B341-1</f>
        <v/>
      </c>
      <c r="E342" s="45">
        <f>C342/C341-1</f>
        <v/>
      </c>
      <c r="F342" s="35" t="n"/>
      <c r="G342" s="35" t="n"/>
      <c r="H342" s="33" t="n"/>
      <c r="I342" s="33" t="n"/>
      <c r="J342" s="33" t="n"/>
      <c r="K342" s="33" t="n"/>
      <c r="L342" s="33" t="n"/>
    </row>
    <row r="343">
      <c r="A343" s="36" t="inlineStr">
        <is>
          <t>2026-06-22</t>
        </is>
      </c>
      <c r="B343" s="76" t="n">
        <v>2273.72998046875</v>
      </c>
      <c r="C343" s="77" t="n">
        <v>7472.7900390625</v>
      </c>
      <c r="D343" s="45">
        <f>B343/B342-1</f>
        <v/>
      </c>
      <c r="E343" s="45">
        <f>C343/C342-1</f>
        <v/>
      </c>
      <c r="F343" s="35" t="n"/>
      <c r="G343" s="35" t="n"/>
      <c r="H343" s="33" t="n"/>
      <c r="I343" s="33" t="n"/>
      <c r="J343" s="33" t="n"/>
      <c r="K343" s="33" t="n"/>
      <c r="L343" s="33" t="n"/>
    </row>
    <row r="344">
      <c r="A344" s="36" t="inlineStr">
        <is>
          <t>2026-06-23</t>
        </is>
      </c>
      <c r="B344" s="76" t="n">
        <v>1963.599975585938</v>
      </c>
      <c r="C344" s="77" t="n">
        <v>7365.4599609375</v>
      </c>
      <c r="D344" s="45">
        <f>B344/B343-1</f>
        <v/>
      </c>
      <c r="E344" s="45">
        <f>C344/C343-1</f>
        <v/>
      </c>
      <c r="F344" s="35" t="n"/>
      <c r="G344" s="35" t="n"/>
      <c r="H344" s="33" t="n"/>
      <c r="I344" s="33" t="n"/>
      <c r="J344" s="33" t="n"/>
      <c r="K344" s="33" t="n"/>
      <c r="L344" s="33" t="n"/>
    </row>
    <row r="345">
      <c r="A345" s="36" t="inlineStr">
        <is>
          <t>2026-06-24</t>
        </is>
      </c>
      <c r="B345" s="76" t="n">
        <v>1914.4599609375</v>
      </c>
      <c r="C345" s="77" t="n">
        <v>7358.22021484375</v>
      </c>
      <c r="D345" s="45">
        <f>B345/B344-1</f>
        <v/>
      </c>
      <c r="E345" s="45">
        <f>C345/C344-1</f>
        <v/>
      </c>
      <c r="F345" s="35" t="n"/>
      <c r="G345" s="35" t="n"/>
      <c r="H345" s="33" t="n"/>
      <c r="I345" s="33" t="n"/>
      <c r="J345" s="33" t="n"/>
      <c r="K345" s="33" t="n"/>
      <c r="L345" s="33" t="n"/>
    </row>
    <row r="346">
      <c r="A346" s="36" t="inlineStr">
        <is>
          <t>2026-06-25</t>
        </is>
      </c>
      <c r="B346" s="76" t="n">
        <v>2335</v>
      </c>
      <c r="C346" s="77" t="n">
        <v>7357.490234375</v>
      </c>
      <c r="D346" s="45">
        <f>B346/B345-1</f>
        <v/>
      </c>
      <c r="E346" s="45">
        <f>C346/C345-1</f>
        <v/>
      </c>
      <c r="F346" s="35" t="n"/>
      <c r="G346" s="35" t="n"/>
      <c r="H346" s="33" t="n"/>
      <c r="I346" s="33" t="n"/>
      <c r="J346" s="33" t="n"/>
      <c r="K346" s="33" t="n"/>
      <c r="L346" s="33" t="n"/>
    </row>
    <row r="347">
      <c r="A347" s="36" t="inlineStr">
        <is>
          <t>2026-06-26</t>
        </is>
      </c>
      <c r="B347" s="76" t="n">
        <v>2090.7099609375</v>
      </c>
      <c r="C347" s="77" t="n">
        <v>7354.02001953125</v>
      </c>
      <c r="D347" s="45">
        <f>B347/B346-1</f>
        <v/>
      </c>
      <c r="E347" s="45">
        <f>C347/C346-1</f>
        <v/>
      </c>
      <c r="F347" s="35" t="n"/>
      <c r="G347" s="35" t="n"/>
      <c r="H347" s="33" t="n"/>
      <c r="I347" s="33" t="n"/>
      <c r="J347" s="33" t="n"/>
      <c r="K347" s="33" t="n"/>
      <c r="L347" s="33" t="n"/>
    </row>
    <row r="348">
      <c r="A348" s="36" t="inlineStr">
        <is>
          <t>2026-06-29</t>
        </is>
      </c>
      <c r="B348" s="76" t="n">
        <v>2050.389892578125</v>
      </c>
      <c r="C348" s="77" t="n">
        <v>7440.43017578125</v>
      </c>
      <c r="D348" s="45">
        <f>B348/B347-1</f>
        <v/>
      </c>
      <c r="E348" s="45">
        <f>C348/C347-1</f>
        <v/>
      </c>
      <c r="F348" s="35" t="n"/>
      <c r="G348" s="35" t="n"/>
      <c r="H348" s="33" t="n"/>
      <c r="I348" s="33" t="n"/>
      <c r="J348" s="33" t="n"/>
      <c r="K348" s="33" t="n"/>
      <c r="L348" s="33" t="n"/>
    </row>
    <row r="349">
      <c r="A349" s="36" t="inlineStr">
        <is>
          <t>2026-06-30</t>
        </is>
      </c>
      <c r="B349" s="76" t="n">
        <v>2273.72998046875</v>
      </c>
      <c r="C349" s="77" t="n">
        <v>7499.35986328125</v>
      </c>
      <c r="D349" s="45">
        <f>B349/B348-1</f>
        <v/>
      </c>
      <c r="E349" s="45">
        <f>C349/C348-1</f>
        <v/>
      </c>
      <c r="F349" s="35" t="n"/>
      <c r="G349" s="35" t="n"/>
      <c r="H349" s="33" t="n"/>
      <c r="I349" s="33" t="n"/>
      <c r="J349" s="33" t="n"/>
      <c r="K349" s="33" t="n"/>
      <c r="L349" s="33" t="n"/>
    </row>
    <row r="350">
      <c r="A350" s="36" t="inlineStr">
        <is>
          <t>2026-07-01</t>
        </is>
      </c>
      <c r="B350" s="76" t="n">
        <v>2032.219970703125</v>
      </c>
      <c r="C350" s="77" t="n">
        <v>7483.22998046875</v>
      </c>
      <c r="D350" s="45">
        <f>B350/B349-1</f>
        <v/>
      </c>
      <c r="E350" s="45">
        <f>C350/C349-1</f>
        <v/>
      </c>
      <c r="F350" s="35" t="n"/>
      <c r="G350" s="35" t="n"/>
      <c r="H350" s="33" t="n"/>
      <c r="I350" s="33" t="n"/>
      <c r="J350" s="33" t="n"/>
      <c r="K350" s="33" t="n"/>
      <c r="L350" s="33" t="n"/>
    </row>
    <row r="351">
      <c r="A351" s="36" t="inlineStr">
        <is>
          <t>2026-07-02</t>
        </is>
      </c>
      <c r="B351" s="76" t="n">
        <v>1745</v>
      </c>
      <c r="C351" s="77" t="n">
        <v>7483.240234375</v>
      </c>
      <c r="D351" s="45">
        <f>B351/B350-1</f>
        <v/>
      </c>
      <c r="E351" s="45">
        <f>C351/C350-1</f>
        <v/>
      </c>
      <c r="F351" s="35" t="n"/>
      <c r="G351" s="35" t="n"/>
      <c r="H351" s="33" t="n"/>
      <c r="I351" s="33" t="n"/>
      <c r="J351" s="33" t="n"/>
      <c r="K351" s="33" t="n"/>
      <c r="L351" s="33" t="n"/>
    </row>
    <row r="352">
      <c r="A352" s="36" t="inlineStr">
        <is>
          <t>2026-07-06</t>
        </is>
      </c>
      <c r="B352" s="76" t="n">
        <v>1744.430053710938</v>
      </c>
      <c r="C352" s="77" t="n">
        <v>7537.43017578125</v>
      </c>
      <c r="D352" s="45">
        <f>B352/B351-1</f>
        <v/>
      </c>
      <c r="E352" s="45">
        <f>C352/C351-1</f>
        <v/>
      </c>
      <c r="F352" s="35" t="n"/>
      <c r="G352" s="35" t="n"/>
      <c r="H352" s="33" t="n"/>
      <c r="I352" s="33" t="n"/>
      <c r="J352" s="33" t="n"/>
      <c r="K352" s="33" t="n"/>
      <c r="L352" s="33" t="n"/>
    </row>
    <row r="353">
      <c r="A353" s="36" t="inlineStr">
        <is>
          <t>2026-07-07</t>
        </is>
      </c>
      <c r="B353" s="76" t="n">
        <v>1617.699951171875</v>
      </c>
      <c r="C353" s="77" t="n">
        <v>7503.85009765625</v>
      </c>
      <c r="D353" s="45">
        <f>B353/B352-1</f>
        <v/>
      </c>
      <c r="E353" s="45">
        <f>C353/C352-1</f>
        <v/>
      </c>
      <c r="F353" s="35" t="n"/>
      <c r="G353" s="35" t="n"/>
      <c r="H353" s="33" t="n"/>
      <c r="I353" s="33" t="n"/>
      <c r="J353" s="33" t="n"/>
      <c r="K353" s="33" t="n"/>
      <c r="L353" s="33" t="n"/>
    </row>
    <row r="354">
      <c r="A354" s="36" t="inlineStr">
        <is>
          <t>2026-07-08</t>
        </is>
      </c>
      <c r="B354" s="76" t="n">
        <v>1727.180053710938</v>
      </c>
      <c r="C354" s="77" t="n">
        <v>7482.7099609375</v>
      </c>
      <c r="D354" s="45">
        <f>B354/B353-1</f>
        <v/>
      </c>
      <c r="E354" s="45">
        <f>C354/C353-1</f>
        <v/>
      </c>
      <c r="F354" s="35" t="n"/>
      <c r="G354" s="35" t="n"/>
      <c r="H354" s="33" t="n"/>
      <c r="I354" s="33" t="n"/>
      <c r="J354" s="33" t="n"/>
      <c r="K354" s="33" t="n"/>
      <c r="L354" s="33" t="n"/>
    </row>
    <row r="355">
      <c r="A355" s="36" t="inlineStr">
        <is>
          <t>2026-07-09</t>
        </is>
      </c>
      <c r="B355" s="76" t="n">
        <v>1858.27001953125</v>
      </c>
      <c r="C355" s="77" t="n">
        <v>7543.64013671875</v>
      </c>
      <c r="D355" s="45">
        <f>B355/B354-1</f>
        <v/>
      </c>
      <c r="E355" s="45">
        <f>C355/C354-1</f>
        <v/>
      </c>
      <c r="F355" s="35" t="n"/>
      <c r="G355" s="35" t="n"/>
      <c r="H355" s="33" t="n"/>
      <c r="I355" s="33" t="n"/>
      <c r="J355" s="33" t="n"/>
      <c r="K355" s="33" t="n"/>
      <c r="L355" s="33" t="n"/>
    </row>
    <row r="356">
      <c r="A356" s="36" t="inlineStr">
        <is>
          <t>2026-07-10</t>
        </is>
      </c>
      <c r="B356" s="76" t="n">
        <v>1915.920043945312</v>
      </c>
      <c r="C356" s="77" t="n">
        <v>7575.39013671875</v>
      </c>
      <c r="D356" s="45">
        <f>B356/B355-1</f>
        <v/>
      </c>
      <c r="E356" s="45">
        <f>C356/C355-1</f>
        <v/>
      </c>
      <c r="F356" s="35" t="n"/>
      <c r="G356" s="35" t="n"/>
      <c r="H356" s="33" t="n"/>
      <c r="I356" s="33" t="n"/>
      <c r="J356" s="33" t="n"/>
      <c r="K356" s="33" t="n"/>
      <c r="L356" s="33" t="n"/>
    </row>
    <row r="357">
      <c r="A357" s="36" t="inlineStr">
        <is>
          <t>2026-07-13</t>
        </is>
      </c>
      <c r="B357" s="76" t="n">
        <v>1673.969970703125</v>
      </c>
      <c r="C357" s="77" t="n">
        <v>7515.33984375</v>
      </c>
      <c r="D357" s="45">
        <f>B357/B356-1</f>
        <v/>
      </c>
      <c r="E357" s="45">
        <f>C357/C356-1</f>
        <v/>
      </c>
      <c r="F357" s="35" t="n"/>
      <c r="G357" s="35" t="n"/>
      <c r="H357" s="33" t="n"/>
      <c r="I357" s="33" t="n"/>
      <c r="J357" s="33" t="n"/>
      <c r="K357" s="33" t="n"/>
      <c r="L357" s="33" t="n"/>
    </row>
    <row r="358">
      <c r="A358" s="36" t="inlineStr">
        <is>
          <t>2026-07-14</t>
        </is>
      </c>
      <c r="B358" s="76" t="n">
        <v>1757.819946289062</v>
      </c>
      <c r="C358" s="77" t="n">
        <v>7543.58984375</v>
      </c>
      <c r="D358" s="45">
        <f>B358/B357-1</f>
        <v/>
      </c>
      <c r="E358" s="45">
        <f>C358/C357-1</f>
        <v/>
      </c>
      <c r="F358" s="35" t="n"/>
      <c r="G358" s="35" t="n"/>
      <c r="H358" s="33" t="n"/>
      <c r="I358" s="33" t="n"/>
      <c r="J358" s="33" t="n"/>
      <c r="K358" s="33" t="n"/>
      <c r="L358" s="33" t="n"/>
    </row>
    <row r="359">
      <c r="A359" s="36" t="inlineStr">
        <is>
          <t>2026-07-15</t>
        </is>
      </c>
      <c r="B359" s="76" t="n">
        <v>1615</v>
      </c>
      <c r="C359" s="77" t="n">
        <v>7572.39990234375</v>
      </c>
      <c r="D359" s="45">
        <f>B359/B358-1</f>
        <v/>
      </c>
      <c r="E359" s="45">
        <f>C359/C358-1</f>
        <v/>
      </c>
      <c r="F359" s="35" t="n"/>
      <c r="G359" s="35" t="n"/>
      <c r="H359" s="33" t="n"/>
      <c r="I359" s="33" t="n"/>
      <c r="J359" s="33" t="n"/>
      <c r="K359" s="33" t="n"/>
      <c r="L359" s="33" t="n"/>
    </row>
    <row r="360">
      <c r="A360" s="36" t="inlineStr">
        <is>
          <t>2026-07-16</t>
        </is>
      </c>
      <c r="B360" s="76" t="n">
        <v>1411.079956054688</v>
      </c>
      <c r="C360" s="77" t="n">
        <v>7533.77001953125</v>
      </c>
      <c r="D360" s="45">
        <f>B360/B359-1</f>
        <v/>
      </c>
      <c r="E360" s="45">
        <f>C360/C359-1</f>
        <v/>
      </c>
      <c r="F360" s="35" t="n"/>
      <c r="G360" s="35" t="n"/>
      <c r="H360" s="33" t="n"/>
      <c r="I360" s="33" t="n"/>
      <c r="J360" s="33" t="n"/>
      <c r="K360" s="33" t="n"/>
      <c r="L360" s="33" t="n"/>
    </row>
    <row r="361">
      <c r="A361" s="36" t="inlineStr">
        <is>
          <t>2026-07-17</t>
        </is>
      </c>
      <c r="B361" s="76" t="n">
        <v>1354.819946289062</v>
      </c>
      <c r="C361" s="77" t="n">
        <v>7457.68994140625</v>
      </c>
      <c r="D361" s="45">
        <f>B361/B360-1</f>
        <v/>
      </c>
      <c r="E361" s="45">
        <f>C361/C360-1</f>
        <v/>
      </c>
      <c r="F361" s="35" t="n"/>
      <c r="G361" s="35" t="n"/>
      <c r="H361" s="33" t="n"/>
      <c r="I361" s="33" t="n"/>
      <c r="J361" s="33" t="n"/>
      <c r="K361" s="33" t="n"/>
      <c r="L361" s="33" t="n"/>
    </row>
    <row r="362">
      <c r="A362" s="36" t="inlineStr">
        <is>
          <t>2026-07-20</t>
        </is>
      </c>
      <c r="B362" s="76" t="n">
        <v>1390.949951171875</v>
      </c>
      <c r="C362" s="77" t="n">
        <v>7443.27978515625</v>
      </c>
      <c r="D362" s="45">
        <f>B362/B361-1</f>
        <v/>
      </c>
      <c r="E362" s="45">
        <f>C362/C361-1</f>
        <v/>
      </c>
      <c r="F362" s="35" t="n"/>
      <c r="G362" s="35" t="n"/>
      <c r="H362" s="33" t="n"/>
      <c r="I362" s="33" t="n"/>
      <c r="J362" s="33" t="n"/>
      <c r="K362" s="33" t="n"/>
      <c r="L362" s="33" t="n"/>
    </row>
    <row r="363">
      <c r="A363" s="36" t="inlineStr">
        <is>
          <t>2026-07-21</t>
        </is>
      </c>
      <c r="B363" s="76" t="n">
        <v>1589.400024414062</v>
      </c>
      <c r="C363" s="77" t="n">
        <v>7509.2001953125</v>
      </c>
      <c r="D363" s="45">
        <f>B363/B362-1</f>
        <v/>
      </c>
      <c r="E363" s="45">
        <f>C363/C362-1</f>
        <v/>
      </c>
      <c r="F363" s="35" t="n"/>
      <c r="G363" s="35" t="n"/>
      <c r="H363" s="33" t="n"/>
      <c r="I363" s="33" t="n"/>
      <c r="J363" s="33" t="n"/>
      <c r="K363" s="33" t="n"/>
      <c r="L363" s="33" t="n"/>
    </row>
    <row r="364">
      <c r="A364" s="36" t="inlineStr">
        <is>
          <t>2026-07-22</t>
        </is>
      </c>
      <c r="B364" s="76" t="n">
        <v>1599.27001953125</v>
      </c>
      <c r="C364" s="77" t="n">
        <v>7498.9599609375</v>
      </c>
      <c r="D364" s="45">
        <f>B364/B363-1</f>
        <v/>
      </c>
      <c r="E364" s="45">
        <f>C364/C363-1</f>
        <v/>
      </c>
      <c r="F364" s="35" t="n"/>
      <c r="G364" s="35" t="n"/>
      <c r="H364" s="33" t="n"/>
      <c r="I364" s="33" t="n"/>
      <c r="J364" s="33" t="n"/>
      <c r="K364" s="33" t="n"/>
      <c r="L364" s="33" t="n"/>
    </row>
    <row r="365">
      <c r="A365" s="36" t="inlineStr">
        <is>
          <t>2026-07-23</t>
        </is>
      </c>
      <c r="B365" s="76" t="n">
        <v>1610.329956054688</v>
      </c>
      <c r="C365" s="77" t="n">
        <v>7408.2998046875</v>
      </c>
      <c r="D365" s="45">
        <f>B365/B364-1</f>
        <v/>
      </c>
      <c r="E365" s="45">
        <f>C365/C364-1</f>
        <v/>
      </c>
      <c r="F365" s="35" t="n"/>
      <c r="G365" s="35" t="n"/>
      <c r="H365" s="33" t="n"/>
      <c r="I365" s="33" t="n"/>
      <c r="J365" s="33" t="n"/>
      <c r="K365" s="33" t="n"/>
      <c r="L365" s="33" t="n"/>
    </row>
    <row r="366">
      <c r="A366" s="36" t="inlineStr">
        <is>
          <t>2026-07-24</t>
        </is>
      </c>
      <c r="B366" s="76" t="n">
        <v>1436.56005859375</v>
      </c>
      <c r="C366" s="77" t="n">
        <v>7411.97998046875</v>
      </c>
      <c r="D366" s="45">
        <f>B366/B365-1</f>
        <v/>
      </c>
      <c r="E366" s="45">
        <f>C366/C365-1</f>
        <v/>
      </c>
      <c r="F366" s="35" t="n"/>
      <c r="G366" s="35" t="n"/>
      <c r="H366" s="33" t="n"/>
      <c r="I366" s="33" t="n"/>
      <c r="J366" s="33" t="n"/>
      <c r="K366" s="33" t="n"/>
      <c r="L366" s="33" t="n"/>
    </row>
    <row r="367">
      <c r="A367" s="36" t="inlineStr">
        <is>
          <t>2026-07-27</t>
        </is>
      </c>
      <c r="B367" s="76" t="n">
        <v>1278.22998046875</v>
      </c>
      <c r="C367" s="77" t="n">
        <v>7413.18017578125</v>
      </c>
      <c r="D367" s="45">
        <f>B367/B366-1</f>
        <v/>
      </c>
      <c r="E367" s="45">
        <f>C367/C366-1</f>
        <v/>
      </c>
      <c r="F367" s="35" t="n"/>
      <c r="G367" s="35" t="n"/>
      <c r="H367" s="33" t="n"/>
      <c r="I367" s="33" t="n"/>
      <c r="J367" s="33" t="n"/>
      <c r="K367" s="33" t="n"/>
      <c r="L367" s="33" t="n"/>
    </row>
    <row r="368">
      <c r="A368" s="36" t="inlineStr">
        <is>
          <t>2026-07-28</t>
        </is>
      </c>
      <c r="B368" s="76" t="n">
        <v>1096.099975585938</v>
      </c>
      <c r="C368" s="77" t="n">
        <v>7428.77978515625</v>
      </c>
      <c r="D368" s="45">
        <f>B368/B367-1</f>
        <v/>
      </c>
      <c r="E368" s="45">
        <f>C368/C367-1</f>
        <v/>
      </c>
      <c r="F368" s="35" t="n"/>
      <c r="G368" s="35" t="n"/>
      <c r="H368" s="33" t="n"/>
      <c r="I368" s="33" t="n"/>
      <c r="J368" s="33" t="n"/>
      <c r="K368" s="33" t="n"/>
      <c r="L368" s="33" t="n"/>
    </row>
    <row r="369">
      <c r="A369" s="36" t="inlineStr">
        <is>
          <t>2026-07-29</t>
        </is>
      </c>
      <c r="B369" s="76" t="n">
        <v>1015.890014648438</v>
      </c>
      <c r="C369" s="77" t="n">
        <v>7316.14990234375</v>
      </c>
      <c r="D369" s="45">
        <f>B369/B368-1</f>
        <v/>
      </c>
      <c r="E369" s="45">
        <f>C369/C368-1</f>
        <v/>
      </c>
      <c r="F369" s="35" t="n"/>
      <c r="G369" s="35" t="n"/>
      <c r="H369" s="33" t="n"/>
      <c r="I369" s="33" t="n"/>
      <c r="J369" s="33" t="n"/>
      <c r="K369" s="33" t="n"/>
      <c r="L369" s="33" t="n"/>
    </row>
    <row r="370">
      <c r="A370" s="36" t="inlineStr">
        <is>
          <t>2026-07-30</t>
        </is>
      </c>
      <c r="B370" s="76" t="n">
        <v>1279.9599609375</v>
      </c>
      <c r="C370" s="77" t="n">
        <v>7437.6298828125</v>
      </c>
      <c r="D370" s="45">
        <f>B370/B369-1</f>
        <v/>
      </c>
      <c r="E370" s="45">
        <f>C370/C369-1</f>
        <v/>
      </c>
      <c r="F370" s="35" t="n"/>
      <c r="G370" s="35" t="n"/>
      <c r="H370" s="33" t="n"/>
      <c r="I370" s="33" t="n"/>
      <c r="J370" s="33" t="n"/>
      <c r="K370" s="33" t="n"/>
      <c r="L370" s="33" t="n"/>
    </row>
    <row r="371">
      <c r="A371" s="36" t="inlineStr">
        <is>
          <t>2026-07-31</t>
        </is>
      </c>
      <c r="B371" s="76" t="n">
        <v>1214.829956054688</v>
      </c>
      <c r="C371" s="77" t="n">
        <v>7489.72021484375</v>
      </c>
      <c r="D371" s="45">
        <f>B371/B370-1</f>
        <v/>
      </c>
      <c r="E371" s="45">
        <f>C371/C370-1</f>
        <v/>
      </c>
      <c r="F371" s="35" t="n"/>
      <c r="G371" s="35" t="n"/>
      <c r="H371" s="33" t="n"/>
      <c r="I371" s="33" t="n"/>
      <c r="J371" s="33" t="n"/>
      <c r="K371" s="33" t="n"/>
      <c r="L371" s="33" t="n"/>
    </row>
    <row r="372">
      <c r="A372" s="36" t="inlineStr">
        <is>
          <t>2026-08-03</t>
        </is>
      </c>
      <c r="B372" s="76" t="n">
        <v>1288.030029296875</v>
      </c>
      <c r="C372" s="77" t="n">
        <v>7600.5</v>
      </c>
      <c r="D372" s="45">
        <f>B372/B371-1</f>
        <v/>
      </c>
      <c r="E372" s="45">
        <f>C372/C371-1</f>
        <v/>
      </c>
      <c r="F372" s="35" t="n"/>
      <c r="G372" s="35" t="n"/>
      <c r="H372" s="33" t="n"/>
      <c r="I372" s="33" t="n"/>
      <c r="J372" s="33" t="n"/>
      <c r="K372" s="33" t="n"/>
      <c r="L372" s="33" t="n"/>
    </row>
    <row r="373">
      <c r="A373" s="36" t="inlineStr">
        <is>
          <t>2026-08-04</t>
        </is>
      </c>
      <c r="B373" s="76" t="n">
        <v>1427.619995117188</v>
      </c>
      <c r="C373" s="77" t="n">
        <v>7736.52001953125</v>
      </c>
      <c r="D373" s="45">
        <f>B373/B372-1</f>
        <v/>
      </c>
      <c r="E373" s="45">
        <f>C373/C372-1</f>
        <v/>
      </c>
      <c r="F373" s="35" t="n"/>
      <c r="G373" s="35" t="n"/>
      <c r="H373" s="33" t="n"/>
      <c r="I373" s="33" t="n"/>
      <c r="J373" s="33" t="n"/>
      <c r="K373" s="33" t="n"/>
      <c r="L373" s="33" t="n"/>
    </row>
    <row r="374">
      <c r="A374" s="36" t="inlineStr">
        <is>
          <t>2026-08-05</t>
        </is>
      </c>
      <c r="B374" s="76" t="n">
        <v>1350.5</v>
      </c>
      <c r="C374" s="77" t="n">
        <v>7723.5498046875</v>
      </c>
      <c r="D374" s="45">
        <f>B374/B373-1</f>
        <v/>
      </c>
      <c r="E374" s="45">
        <f>C374/C373-1</f>
        <v/>
      </c>
      <c r="F374" s="35" t="n"/>
      <c r="G374" s="35" t="n"/>
      <c r="H374" s="33" t="n"/>
      <c r="I374" s="33" t="n"/>
      <c r="J374" s="33" t="n"/>
      <c r="K374" s="33" t="n"/>
      <c r="L374" s="33" t="n"/>
    </row>
    <row r="375">
      <c r="A375" s="36" t="inlineStr">
        <is>
          <t>2026-08-06</t>
        </is>
      </c>
      <c r="B375" s="76" t="n">
        <v>1258.579956054688</v>
      </c>
      <c r="C375" s="77" t="n">
        <v>7709.9599609375</v>
      </c>
      <c r="D375" s="45">
        <f>B375/B374-1</f>
        <v/>
      </c>
      <c r="E375" s="45">
        <f>C375/C374-1</f>
        <v/>
      </c>
      <c r="F375" s="35" t="n"/>
      <c r="G375" s="35" t="n"/>
      <c r="H375" s="33" t="n"/>
      <c r="I375" s="33" t="n"/>
      <c r="J375" s="33" t="n"/>
      <c r="K375" s="33" t="n"/>
      <c r="L375" s="33" t="n"/>
    </row>
    <row r="376">
      <c r="A376" s="36" t="inlineStr">
        <is>
          <t>2026-08-07</t>
        </is>
      </c>
      <c r="B376" s="76" t="n">
        <v>1212.2099609375</v>
      </c>
      <c r="C376" s="77" t="n">
        <v>7757.64013671875</v>
      </c>
      <c r="D376" s="45">
        <f>B376/B375-1</f>
        <v/>
      </c>
      <c r="E376" s="45">
        <f>C376/C375-1</f>
        <v/>
      </c>
      <c r="F376" s="35" t="n"/>
      <c r="G376" s="35" t="n"/>
      <c r="H376" s="33" t="n"/>
      <c r="I376" s="33" t="n"/>
      <c r="J376" s="33" t="n"/>
      <c r="K376" s="33" t="n"/>
      <c r="L376" s="33" t="n"/>
    </row>
    <row r="377">
      <c r="A377" s="36" t="inlineStr">
        <is>
          <t>2026-08-10</t>
        </is>
      </c>
      <c r="B377" s="76" t="n">
        <v>1237.920043945312</v>
      </c>
      <c r="C377" s="77" t="n">
        <v>7753.10986328125</v>
      </c>
      <c r="D377" s="45">
        <f>B377/B376-1</f>
        <v/>
      </c>
      <c r="E377" s="45">
        <f>C377/C376-1</f>
        <v/>
      </c>
      <c r="F377" s="35" t="n"/>
      <c r="G377" s="35" t="n"/>
      <c r="H377" s="33" t="n"/>
      <c r="I377" s="33" t="n"/>
      <c r="J377" s="33" t="n"/>
      <c r="K377" s="33" t="n"/>
      <c r="L377" s="33" t="n"/>
    </row>
    <row r="378">
      <c r="A378" s="36" t="inlineStr">
        <is>
          <t>2026-08-11</t>
        </is>
      </c>
      <c r="B378" s="76" t="n">
        <v>1271.050048828125</v>
      </c>
      <c r="C378" s="77" t="n">
        <v>7728.2001953125</v>
      </c>
      <c r="D378" s="45">
        <f>B378/B377-1</f>
        <v/>
      </c>
      <c r="E378" s="45">
        <f>C378/C377-1</f>
        <v/>
      </c>
      <c r="F378" s="35" t="n"/>
      <c r="G378" s="35" t="n"/>
      <c r="H378" s="33" t="n"/>
      <c r="I378" s="33" t="n"/>
      <c r="J378" s="33" t="n"/>
      <c r="K378" s="33" t="n"/>
      <c r="L378" s="33" t="n"/>
    </row>
    <row r="379">
      <c r="A379" s="36" t="inlineStr">
        <is>
          <t>2026-08-12</t>
        </is>
      </c>
      <c r="B379" s="76" t="n">
        <v>1344.2900390625</v>
      </c>
      <c r="C379" s="77" t="n">
        <v>7748.5</v>
      </c>
      <c r="D379" s="45">
        <f>B379/B378-1</f>
        <v/>
      </c>
      <c r="E379" s="45">
        <f>C379/C378-1</f>
        <v/>
      </c>
      <c r="F379" s="35" t="n"/>
      <c r="G379" s="35" t="n"/>
      <c r="H379" s="33" t="n"/>
      <c r="I379" s="33" t="n"/>
      <c r="J379" s="33" t="n"/>
      <c r="K379" s="33" t="n"/>
      <c r="L379" s="33" t="n"/>
    </row>
    <row r="380">
      <c r="A380" s="36" t="inlineStr">
        <is>
          <t>2026-08-13</t>
        </is>
      </c>
      <c r="B380" s="76" t="n">
        <v>1528.109985351562</v>
      </c>
      <c r="C380" s="77" t="n">
        <v>7798.990234375</v>
      </c>
      <c r="D380" s="45">
        <f>B380/B379-1</f>
        <v/>
      </c>
      <c r="E380" s="45">
        <f>C380/C379-1</f>
        <v/>
      </c>
      <c r="F380" s="35" t="n"/>
      <c r="G380" s="35" t="n"/>
      <c r="H380" s="33" t="n"/>
      <c r="I380" s="33" t="n"/>
      <c r="J380" s="33" t="n"/>
      <c r="K380" s="33" t="n"/>
      <c r="L380" s="33" t="n"/>
    </row>
    <row r="381">
      <c r="A381" s="36" t="inlineStr">
        <is>
          <t>2026-08-14</t>
        </is>
      </c>
      <c r="B381" s="76" t="n">
        <v>1641.109985351562</v>
      </c>
      <c r="C381" s="77" t="n">
        <v>7785.759765625</v>
      </c>
      <c r="D381" s="45">
        <f>B381/B380-1</f>
        <v/>
      </c>
      <c r="E381" s="45">
        <f>C381/C380-1</f>
        <v/>
      </c>
      <c r="F381" s="35" t="n"/>
      <c r="G381" s="35" t="n"/>
      <c r="H381" s="33" t="n"/>
      <c r="I381" s="33" t="n"/>
      <c r="J381" s="33" t="n"/>
      <c r="K381" s="33" t="n"/>
      <c r="L381" s="33" t="n"/>
    </row>
    <row r="382">
      <c r="A382" s="36" t="inlineStr">
        <is>
          <t>2026-08-17</t>
        </is>
      </c>
      <c r="B382" s="76" t="n">
        <v>1786.849975585938</v>
      </c>
      <c r="C382" s="77" t="n">
        <v>7745.06005859375</v>
      </c>
      <c r="D382" s="45">
        <f>B382/B381-1</f>
        <v/>
      </c>
      <c r="E382" s="45">
        <f>C382/C381-1</f>
        <v/>
      </c>
      <c r="F382" s="35" t="n"/>
      <c r="G382" s="35" t="n"/>
      <c r="H382" s="33" t="n"/>
      <c r="I382" s="33" t="n"/>
      <c r="J382" s="33" t="n"/>
      <c r="K382" s="33" t="n"/>
      <c r="L382" s="33" t="n"/>
    </row>
    <row r="383">
      <c r="A383" s="36" t="inlineStr">
        <is>
          <t>2026-08-18</t>
        </is>
      </c>
      <c r="B383" s="76" t="n">
        <v>1625.780029296875</v>
      </c>
      <c r="C383" s="77" t="n">
        <v>7691.759765625</v>
      </c>
      <c r="D383" s="45">
        <f>B383/B382-1</f>
        <v/>
      </c>
      <c r="E383" s="45">
        <f>C383/C382-1</f>
        <v/>
      </c>
      <c r="F383" s="35" t="n"/>
      <c r="G383" s="35" t="n"/>
      <c r="H383" s="33" t="n"/>
      <c r="I383" s="33" t="n"/>
      <c r="J383" s="33" t="n"/>
      <c r="K383" s="33" t="n"/>
      <c r="L383" s="33" t="n"/>
    </row>
    <row r="384">
      <c r="A384" s="36" t="inlineStr">
        <is>
          <t>2026-08-19</t>
        </is>
      </c>
      <c r="B384" s="76" t="n">
        <v>1568.869995117188</v>
      </c>
      <c r="C384" s="77" t="n">
        <v>7707.97998046875</v>
      </c>
      <c r="D384" s="45">
        <f>B384/B383-1</f>
        <v/>
      </c>
      <c r="E384" s="45">
        <f>C384/C383-1</f>
        <v/>
      </c>
      <c r="F384" s="35" t="n"/>
      <c r="G384" s="35" t="n"/>
      <c r="H384" s="33" t="n"/>
      <c r="I384" s="33" t="n"/>
      <c r="J384" s="33" t="n"/>
      <c r="K384" s="33" t="n"/>
      <c r="L384" s="33" t="n"/>
    </row>
    <row r="385">
      <c r="A385" s="36" t="inlineStr">
        <is>
          <t>2026-08-20</t>
        </is>
      </c>
      <c r="B385" s="76" t="n">
        <v>1600.619995117188</v>
      </c>
      <c r="C385" s="77" t="n">
        <v>7641.16015625</v>
      </c>
      <c r="D385" s="45">
        <f>B385/B384-1</f>
        <v/>
      </c>
      <c r="E385" s="45">
        <f>C385/C384-1</f>
        <v/>
      </c>
      <c r="F385" s="35" t="n"/>
      <c r="G385" s="35" t="n"/>
      <c r="H385" s="33" t="n"/>
      <c r="I385" s="33" t="n"/>
      <c r="J385" s="33" t="n"/>
      <c r="K385" s="33" t="n"/>
      <c r="L385" s="33" t="n"/>
    </row>
    <row r="386">
      <c r="A386" s="36" t="inlineStr">
        <is>
          <t>2026-08-21</t>
        </is>
      </c>
      <c r="B386" s="76" t="n">
        <v>1596.079956054688</v>
      </c>
      <c r="C386" s="77" t="n">
        <v>7674.3701171875</v>
      </c>
      <c r="D386" s="45">
        <f>B386/B385-1</f>
        <v/>
      </c>
      <c r="E386" s="45">
        <f>C386/C385-1</f>
        <v/>
      </c>
      <c r="F386" s="35" t="n"/>
      <c r="G386" s="35" t="n"/>
      <c r="H386" s="33" t="n"/>
      <c r="I386" s="33" t="n"/>
      <c r="J386" s="33" t="n"/>
      <c r="K386" s="33" t="n"/>
      <c r="L386" s="33" t="n"/>
    </row>
    <row r="387">
      <c r="A387" s="36" t="inlineStr">
        <is>
          <t>2026-08-24</t>
        </is>
      </c>
      <c r="B387" s="76" t="n">
        <v>1493.119995117188</v>
      </c>
      <c r="C387" s="77" t="n">
        <v>7652.85986328125</v>
      </c>
      <c r="D387" s="45">
        <f>B387/B386-1</f>
        <v/>
      </c>
      <c r="E387" s="45">
        <f>C387/C386-1</f>
        <v/>
      </c>
      <c r="F387" s="35" t="n"/>
      <c r="G387" s="35" t="n"/>
      <c r="H387" s="33" t="n"/>
      <c r="I387" s="33" t="n"/>
      <c r="J387" s="33" t="n"/>
      <c r="K387" s="33" t="n"/>
      <c r="L387" s="33" t="n"/>
    </row>
    <row r="388">
      <c r="A388" s="36" t="inlineStr">
        <is>
          <t>2026-08-25</t>
        </is>
      </c>
      <c r="B388" s="76" t="n">
        <v>1480.77001953125</v>
      </c>
      <c r="C388" s="77" t="n">
        <v>7677.27978515625</v>
      </c>
      <c r="D388" s="45">
        <f>B388/B387-1</f>
        <v/>
      </c>
      <c r="E388" s="45">
        <f>C388/C387-1</f>
        <v/>
      </c>
      <c r="F388" s="35" t="n"/>
      <c r="G388" s="35" t="n"/>
      <c r="H388" s="33" t="n"/>
      <c r="I388" s="33" t="n"/>
      <c r="J388" s="33" t="n"/>
      <c r="K388" s="33" t="n"/>
      <c r="L388" s="33" t="n"/>
    </row>
    <row r="389">
      <c r="A389" s="36" t="inlineStr">
        <is>
          <t>2026-08-26</t>
        </is>
      </c>
      <c r="B389" s="76" t="n">
        <v>1499.369995117188</v>
      </c>
      <c r="C389" s="77" t="n">
        <v>7675.7001953125</v>
      </c>
      <c r="D389" s="45">
        <f>B389/B388-1</f>
        <v/>
      </c>
      <c r="E389" s="45">
        <f>C389/C388-1</f>
        <v/>
      </c>
      <c r="F389" s="35" t="n"/>
      <c r="G389" s="35" t="n"/>
      <c r="H389" s="33" t="n"/>
      <c r="I389" s="33" t="n"/>
      <c r="J389" s="33" t="n"/>
      <c r="K389" s="33" t="n"/>
      <c r="L389" s="33" t="n"/>
    </row>
    <row r="390">
      <c r="A390" s="36" t="inlineStr">
        <is>
          <t>2026-08-27</t>
        </is>
      </c>
      <c r="B390" s="76" t="n">
        <v>1484.949951171875</v>
      </c>
      <c r="C390" s="77" t="n">
        <v>7730.990234375</v>
      </c>
      <c r="D390" s="45">
        <f>B390/B389-1</f>
        <v/>
      </c>
      <c r="E390" s="45">
        <f>C390/C389-1</f>
        <v/>
      </c>
      <c r="F390" s="35" t="n"/>
      <c r="G390" s="35" t="n"/>
      <c r="H390" s="33" t="n"/>
      <c r="I390" s="33" t="n"/>
      <c r="J390" s="33" t="n"/>
      <c r="K390" s="33" t="n"/>
      <c r="L390" s="33" t="n"/>
    </row>
    <row r="391">
      <c r="A391" s="36" t="inlineStr">
        <is>
          <t>2026-08-28</t>
        </is>
      </c>
      <c r="B391" s="76" t="n">
        <v>1484.97998046875</v>
      </c>
      <c r="C391" s="77" t="n">
        <v>7711.759765625</v>
      </c>
      <c r="D391" s="45">
        <f>B391/B390-1</f>
        <v/>
      </c>
      <c r="E391" s="45">
        <f>C391/C390-1</f>
        <v/>
      </c>
      <c r="F391" s="35" t="n"/>
      <c r="G391" s="35" t="n"/>
      <c r="H391" s="33" t="n"/>
      <c r="I391" s="33" t="n"/>
      <c r="J391" s="33" t="n"/>
      <c r="K391" s="33" t="n"/>
      <c r="L391" s="33" t="n"/>
    </row>
    <row r="392">
      <c r="A392" s="36" t="inlineStr">
        <is>
          <t>2026-08-31</t>
        </is>
      </c>
      <c r="B392" s="76" t="n">
        <v>1566.699951171875</v>
      </c>
      <c r="C392" s="77" t="n">
        <v>7686.14013671875</v>
      </c>
      <c r="D392" s="45">
        <f>B392/B391-1</f>
        <v/>
      </c>
      <c r="E392" s="45">
        <f>C392/C391-1</f>
        <v/>
      </c>
      <c r="F392" s="35" t="n"/>
      <c r="G392" s="35" t="n"/>
      <c r="H392" s="33" t="n"/>
      <c r="I392" s="33" t="n"/>
      <c r="J392" s="33" t="n"/>
      <c r="K392" s="33" t="n"/>
      <c r="L392" s="33" t="n"/>
    </row>
    <row r="393">
      <c r="A393" s="36" t="inlineStr">
        <is>
          <t>2026-09-01</t>
        </is>
      </c>
      <c r="B393" s="76" t="n">
        <v>1536.869995117188</v>
      </c>
      <c r="C393" s="77" t="n">
        <v>7631.47021484375</v>
      </c>
      <c r="D393" s="45">
        <f>B393/B392-1</f>
        <v/>
      </c>
      <c r="E393" s="45">
        <f>C393/C392-1</f>
        <v/>
      </c>
      <c r="F393" s="35" t="n"/>
      <c r="G393" s="35" t="n"/>
      <c r="H393" s="33" t="n"/>
      <c r="I393" s="33" t="n"/>
      <c r="J393" s="33" t="n"/>
      <c r="K393" s="33" t="n"/>
      <c r="L393" s="33" t="n"/>
    </row>
    <row r="394">
      <c r="A394" s="36" t="inlineStr">
        <is>
          <t>2026-09-02</t>
        </is>
      </c>
      <c r="B394" s="76" t="n">
        <v>1553.400024414062</v>
      </c>
      <c r="C394" s="77" t="n">
        <v>7666.60009765625</v>
      </c>
      <c r="D394" s="45">
        <f>B394/B393-1</f>
        <v/>
      </c>
      <c r="E394" s="45">
        <f>C394/C393-1</f>
        <v/>
      </c>
      <c r="F394" s="35" t="n"/>
      <c r="G394" s="35" t="n"/>
      <c r="H394" s="33" t="n"/>
      <c r="I394" s="33" t="n"/>
      <c r="J394" s="33" t="n"/>
      <c r="K394" s="33" t="n"/>
      <c r="L394" s="33" t="n"/>
    </row>
    <row r="395">
      <c r="A395" s="36" t="inlineStr">
        <is>
          <t>2026-09-03</t>
        </is>
      </c>
      <c r="B395" s="76" t="n">
        <v>1554.989990234375</v>
      </c>
      <c r="C395" s="77" t="n">
        <v>7747.7099609375</v>
      </c>
      <c r="D395" s="45">
        <f>B395/B394-1</f>
        <v/>
      </c>
      <c r="E395" s="45">
        <f>C395/C394-1</f>
        <v/>
      </c>
      <c r="F395" s="35" t="n"/>
      <c r="G395" s="35" t="n"/>
      <c r="H395" s="33" t="n"/>
      <c r="I395" s="33" t="n"/>
      <c r="J395" s="33" t="n"/>
      <c r="K395" s="33" t="n"/>
      <c r="L395" s="33" t="n"/>
    </row>
    <row r="396">
      <c r="A396" s="36" t="inlineStr">
        <is>
          <t>2026-09-04</t>
        </is>
      </c>
      <c r="B396" s="76" t="n">
        <v>1740</v>
      </c>
      <c r="C396" s="77" t="n">
        <v>7718.60009765625</v>
      </c>
      <c r="D396" s="45">
        <f>B396/B395-1</f>
        <v/>
      </c>
      <c r="E396" s="45">
        <f>C396/C395-1</f>
        <v/>
      </c>
      <c r="F396" s="35" t="n"/>
      <c r="G396" s="35" t="n"/>
      <c r="H396" s="33" t="n"/>
      <c r="I396" s="33" t="n"/>
      <c r="J396" s="33" t="n"/>
      <c r="K396" s="33" t="n"/>
      <c r="L396" s="33" t="n"/>
    </row>
    <row r="397">
      <c r="A397" s="36" t="inlineStr">
        <is>
          <t>2026-09-08</t>
        </is>
      </c>
      <c r="B397" s="76" t="n">
        <v>1737.989990234375</v>
      </c>
      <c r="C397" s="77" t="n">
        <v>7673.52001953125</v>
      </c>
      <c r="D397" s="45">
        <f>B397/B396-1</f>
        <v/>
      </c>
      <c r="E397" s="45">
        <f>C397/C396-1</f>
        <v/>
      </c>
      <c r="F397" s="35" t="n"/>
      <c r="G397" s="35" t="n"/>
      <c r="H397" s="33" t="n"/>
      <c r="I397" s="33" t="n"/>
      <c r="J397" s="33" t="n"/>
      <c r="K397" s="33" t="n"/>
      <c r="L397" s="33" t="n"/>
    </row>
    <row r="398">
      <c r="A398" s="36" t="inlineStr">
        <is>
          <t>2026-09-09</t>
        </is>
      </c>
      <c r="B398" s="76" t="n">
        <v>1764.170043945312</v>
      </c>
      <c r="C398" s="77" t="n">
        <v>7636.35986328125</v>
      </c>
      <c r="D398" s="45">
        <f>B398/B397-1</f>
        <v/>
      </c>
      <c r="E398" s="45">
        <f>C398/C397-1</f>
        <v/>
      </c>
      <c r="F398" s="35" t="n"/>
      <c r="G398" s="35" t="n"/>
      <c r="H398" s="33" t="n"/>
      <c r="I398" s="33" t="n"/>
      <c r="J398" s="33" t="n"/>
      <c r="K398" s="33" t="n"/>
      <c r="L398" s="33" t="n"/>
    </row>
    <row r="399">
      <c r="A399" s="36" t="inlineStr">
        <is>
          <t>2026-09-10</t>
        </is>
      </c>
      <c r="B399" s="76" t="n">
        <v>1692.589965820312</v>
      </c>
      <c r="C399" s="77" t="n">
        <v>7591.7001953125</v>
      </c>
      <c r="D399" s="45">
        <f>B399/B398-1</f>
        <v/>
      </c>
      <c r="E399" s="45">
        <f>C399/C398-1</f>
        <v/>
      </c>
      <c r="F399" s="35" t="n"/>
      <c r="G399" s="35" t="n"/>
      <c r="H399" s="33" t="n"/>
      <c r="I399" s="33" t="n"/>
      <c r="J399" s="33" t="n"/>
      <c r="K399" s="33" t="n"/>
      <c r="L399" s="33" t="n"/>
    </row>
    <row r="400">
      <c r="A400" s="36" t="inlineStr">
        <is>
          <t>2026-09-11</t>
        </is>
      </c>
      <c r="B400" s="76" t="n">
        <v>1633.349975585938</v>
      </c>
      <c r="C400" s="77" t="n">
        <v>7656.97998046875</v>
      </c>
      <c r="D400" s="45">
        <f>B400/B399-1</f>
        <v/>
      </c>
      <c r="E400" s="45">
        <f>C400/C399-1</f>
        <v/>
      </c>
      <c r="F400" s="35" t="n"/>
      <c r="G400" s="35" t="n"/>
      <c r="H400" s="33" t="n"/>
      <c r="I400" s="33" t="n"/>
      <c r="J400" s="33" t="n"/>
      <c r="K400" s="33" t="n"/>
      <c r="L400" s="33" t="n"/>
    </row>
    <row r="401">
      <c r="A401" s="36" t="inlineStr">
        <is>
          <t>2026-09-14</t>
        </is>
      </c>
      <c r="B401" s="76" t="n">
        <v>1551.989990234375</v>
      </c>
      <c r="C401" s="77" t="n">
        <v>7619.97998046875</v>
      </c>
      <c r="D401" s="45">
        <f>B401/B400-1</f>
        <v/>
      </c>
      <c r="E401" s="45">
        <f>C401/C400-1</f>
        <v/>
      </c>
      <c r="F401" s="35" t="n"/>
      <c r="G401" s="35" t="n"/>
      <c r="H401" s="33" t="n"/>
      <c r="I401" s="33" t="n"/>
      <c r="J401" s="33" t="n"/>
      <c r="K401" s="33" t="n"/>
      <c r="L401" s="33" t="n"/>
    </row>
    <row r="402">
      <c r="A402" s="36" t="inlineStr">
        <is>
          <t>2026-09-15</t>
        </is>
      </c>
      <c r="B402" s="76" t="n">
        <v>1530.89501953125</v>
      </c>
      <c r="C402" s="77" t="n">
        <v>7585.72998046875</v>
      </c>
      <c r="D402" s="45">
        <f>B402/B401-1</f>
        <v/>
      </c>
      <c r="E402" s="45">
        <f>C402/C401-1</f>
        <v/>
      </c>
      <c r="F402" s="35" t="n"/>
      <c r="G402" s="35" t="n"/>
      <c r="H402" s="33" t="n"/>
      <c r="I402" s="33" t="n"/>
      <c r="J402" s="33" t="n"/>
      <c r="K402" s="33" t="n"/>
      <c r="L402" s="33" t="n"/>
    </row>
    <row r="403">
      <c r="A403" s="36" t="inlineStr">
        <is>
          <t>2026-09-16</t>
        </is>
      </c>
      <c r="B403" s="76" t="n">
        <v>1519.969970703125</v>
      </c>
      <c r="C403" s="77" t="n">
        <v>7551.81005859375</v>
      </c>
      <c r="D403" s="45">
        <f>B403/B402-1</f>
        <v/>
      </c>
      <c r="E403" s="45">
        <f>C403/C402-1</f>
        <v/>
      </c>
      <c r="F403" s="35" t="n"/>
      <c r="G403" s="35" t="n"/>
      <c r="H403" s="33" t="n"/>
      <c r="I403" s="33" t="n"/>
      <c r="J403" s="33" t="n"/>
      <c r="K403" s="33" t="n"/>
      <c r="L403" s="33" t="n"/>
    </row>
    <row r="404">
      <c r="A404" s="36" t="inlineStr">
        <is>
          <t>2026-09-17</t>
        </is>
      </c>
      <c r="B404" s="76" t="n">
        <v>1614.390014648438</v>
      </c>
      <c r="C404" s="77" t="n">
        <v>7637.759765625</v>
      </c>
      <c r="D404" s="45">
        <f>B404/B403-1</f>
        <v/>
      </c>
      <c r="E404" s="45">
        <f>C404/C403-1</f>
        <v/>
      </c>
      <c r="F404" s="35" t="n"/>
      <c r="G404" s="35" t="n"/>
      <c r="H404" s="33" t="n"/>
      <c r="I404" s="33" t="n"/>
      <c r="J404" s="33" t="n"/>
      <c r="K404" s="33" t="n"/>
      <c r="L404" s="33" t="n"/>
    </row>
    <row r="405">
      <c r="A405" s="36" t="inlineStr">
        <is>
          <t>2026-09-18</t>
        </is>
      </c>
      <c r="B405" s="76" t="n">
        <v>1791.819946289062</v>
      </c>
      <c r="C405" s="77" t="n">
        <v>7650.5</v>
      </c>
      <c r="D405" s="45">
        <f>B405/B404-1</f>
        <v/>
      </c>
      <c r="E405" s="45">
        <f>C405/C404-1</f>
        <v/>
      </c>
      <c r="F405" s="35" t="n"/>
      <c r="G405" s="35" t="n"/>
      <c r="H405" s="33" t="n"/>
      <c r="I405" s="33" t="n"/>
      <c r="J405" s="33" t="n"/>
      <c r="K405" s="33" t="n"/>
      <c r="L405" s="33" t="n"/>
    </row>
    <row r="406">
      <c r="A406" s="36" t="inlineStr">
        <is>
          <t>2026-09-21</t>
        </is>
      </c>
      <c r="B406" s="76" t="n">
        <v>1766.640014648438</v>
      </c>
      <c r="C406" s="77" t="n">
        <v>7764.7001953125</v>
      </c>
      <c r="D406" s="45">
        <f>B406/B405-1</f>
        <v/>
      </c>
      <c r="E406" s="45">
        <f>C406/C405-1</f>
        <v/>
      </c>
      <c r="F406" s="35" t="n"/>
      <c r="G406" s="35" t="n"/>
      <c r="H406" s="33" t="n"/>
      <c r="I406" s="33" t="n"/>
      <c r="J406" s="33" t="n"/>
      <c r="K406" s="33" t="n"/>
      <c r="L406" s="33" t="n"/>
    </row>
    <row r="407">
      <c r="A407" s="36" t="inlineStr">
        <is>
          <t>2026-09-22</t>
        </is>
      </c>
      <c r="B407" s="76" t="n">
        <v>1887.0400390625</v>
      </c>
      <c r="C407" s="77" t="n">
        <v>7764.64013671875</v>
      </c>
      <c r="D407" s="45">
        <f>B407/B406-1</f>
        <v/>
      </c>
      <c r="E407" s="45">
        <f>C407/C406-1</f>
        <v/>
      </c>
      <c r="F407" s="35" t="n"/>
      <c r="G407" s="35" t="n"/>
      <c r="H407" s="33" t="n"/>
      <c r="I407" s="33" t="n"/>
      <c r="J407" s="33" t="n"/>
      <c r="K407" s="33" t="n"/>
      <c r="L407" s="33" t="n"/>
    </row>
    <row r="408">
      <c r="A408" s="36" t="inlineStr">
        <is>
          <t>2026-09-23</t>
        </is>
      </c>
      <c r="B408" s="76" t="n">
        <v>1816.569946289062</v>
      </c>
      <c r="C408" s="77" t="n">
        <v>7706.02978515625</v>
      </c>
      <c r="D408" s="45">
        <f>B408/B407-1</f>
        <v/>
      </c>
      <c r="E408" s="45">
        <f>C408/C407-1</f>
        <v/>
      </c>
      <c r="F408" s="35" t="n"/>
      <c r="G408" s="35" t="n"/>
      <c r="H408" s="33" t="n"/>
      <c r="I408" s="33" t="n"/>
      <c r="J408" s="33" t="n"/>
      <c r="K408" s="33" t="n"/>
      <c r="L408" s="33" t="n"/>
    </row>
    <row r="409">
      <c r="A409" s="36" t="inlineStr">
        <is>
          <t>2026-09-24</t>
        </is>
      </c>
      <c r="B409" s="76" t="n">
        <v>1753.619995117188</v>
      </c>
      <c r="C409" s="77" t="n">
        <v>7704.1298828125</v>
      </c>
      <c r="D409" s="45">
        <f>B409/B408-1</f>
        <v/>
      </c>
      <c r="E409" s="45">
        <f>C409/C408-1</f>
        <v/>
      </c>
      <c r="F409" s="35" t="n"/>
      <c r="G409" s="35" t="n"/>
      <c r="H409" s="33" t="n"/>
      <c r="I409" s="33" t="n"/>
      <c r="J409" s="33" t="n"/>
      <c r="K409" s="33" t="n"/>
      <c r="L409" s="33" t="n"/>
    </row>
    <row r="410">
      <c r="A410" s="36" t="inlineStr">
        <is>
          <t>2026-09-25</t>
        </is>
      </c>
      <c r="B410" s="76" t="n">
        <v>1777.800048828125</v>
      </c>
      <c r="C410" s="77" t="n">
        <v>7743.41015625</v>
      </c>
      <c r="D410" s="45">
        <f>B410/B409-1</f>
        <v/>
      </c>
      <c r="E410" s="45">
        <f>C410/C409-1</f>
        <v/>
      </c>
      <c r="F410" s="35" t="n"/>
      <c r="G410" s="35" t="n"/>
      <c r="H410" s="33" t="n"/>
      <c r="I410" s="33" t="n"/>
      <c r="J410" s="33" t="n"/>
      <c r="K410" s="33" t="n"/>
      <c r="L410" s="33" t="n"/>
    </row>
    <row r="411">
      <c r="A411" s="36" t="inlineStr">
        <is>
          <t>2026-09-28</t>
        </is>
      </c>
      <c r="B411" s="76" t="n">
        <v>1712.890014648438</v>
      </c>
      <c r="C411" s="77" t="n">
        <v>7683.68994140625</v>
      </c>
      <c r="D411" s="45">
        <f>B411/B410-1</f>
        <v/>
      </c>
      <c r="E411" s="45">
        <f>C411/C410-1</f>
        <v/>
      </c>
      <c r="F411" s="35" t="n"/>
      <c r="G411" s="35" t="n"/>
      <c r="H411" s="33" t="n"/>
      <c r="I411" s="33" t="n"/>
      <c r="J411" s="33" t="n"/>
      <c r="K411" s="33" t="n"/>
      <c r="L411" s="33" t="n"/>
    </row>
    <row r="412">
      <c r="A412" s="36" t="inlineStr">
        <is>
          <t>2026-09-29</t>
        </is>
      </c>
      <c r="B412" s="76" t="n">
        <v>1729.760009765625</v>
      </c>
      <c r="C412" s="77" t="n">
        <v>7670.83984375</v>
      </c>
      <c r="D412" s="45">
        <f>B412/B411-1</f>
        <v/>
      </c>
      <c r="E412" s="45">
        <f>C412/C411-1</f>
        <v/>
      </c>
      <c r="F412" s="35" t="n"/>
      <c r="G412" s="35" t="n"/>
      <c r="H412" s="33" t="n"/>
      <c r="I412" s="33" t="n"/>
      <c r="J412" s="33" t="n"/>
      <c r="K412" s="33" t="n"/>
      <c r="L412" s="33" t="n"/>
    </row>
    <row r="413">
      <c r="A413" s="36" t="inlineStr">
        <is>
          <t>2026-09-30</t>
        </is>
      </c>
      <c r="B413" s="76" t="n">
        <v>1739.890014648438</v>
      </c>
      <c r="C413" s="77" t="n">
        <v>7651.5400390625</v>
      </c>
      <c r="D413" s="45">
        <f>B413/B412-1</f>
        <v/>
      </c>
      <c r="E413" s="45">
        <f>C413/C412-1</f>
        <v/>
      </c>
      <c r="F413" s="35" t="n"/>
      <c r="G413" s="35" t="n"/>
      <c r="H413" s="33" t="n"/>
      <c r="I413" s="33" t="n"/>
      <c r="J413" s="33" t="n"/>
      <c r="K413" s="33" t="n"/>
      <c r="L413" s="33" t="n"/>
    </row>
    <row r="414">
      <c r="A414" s="36" t="inlineStr">
        <is>
          <t>2026-10-01</t>
        </is>
      </c>
      <c r="B414" s="76" t="n">
        <v>1787.68994140625</v>
      </c>
      <c r="C414" s="77" t="n">
        <v>7666.4501953125</v>
      </c>
      <c r="D414" s="45">
        <f>B414/B413-1</f>
        <v/>
      </c>
      <c r="E414" s="45">
        <f>C414/C413-1</f>
        <v/>
      </c>
      <c r="F414" s="35" t="n"/>
      <c r="G414" s="35" t="n"/>
      <c r="H414" s="33" t="n"/>
      <c r="I414" s="33" t="n"/>
      <c r="J414" s="33" t="n"/>
      <c r="K414" s="33" t="n"/>
      <c r="L414" s="33" t="n"/>
    </row>
    <row r="415">
      <c r="A415" s="36" t="inlineStr">
        <is>
          <t>2026-10-02</t>
        </is>
      </c>
      <c r="B415" s="76" t="n">
        <v>1719.989990234375</v>
      </c>
      <c r="C415" s="77" t="n">
        <v>7722.72021484375</v>
      </c>
      <c r="D415" s="45">
        <f>B415/B414-1</f>
        <v/>
      </c>
      <c r="E415" s="45">
        <f>C415/C414-1</f>
        <v/>
      </c>
      <c r="F415" s="35" t="n"/>
      <c r="G415" s="35" t="n"/>
      <c r="H415" s="33" t="n"/>
      <c r="I415" s="33" t="n"/>
      <c r="J415" s="33" t="n"/>
      <c r="K415" s="33" t="n"/>
      <c r="L415" s="33" t="n"/>
    </row>
    <row r="416">
      <c r="A416" s="36" t="inlineStr">
        <is>
          <t>2026-10-05</t>
        </is>
      </c>
      <c r="B416" s="76" t="n">
        <v>1704.160034179688</v>
      </c>
      <c r="C416" s="77" t="n">
        <v>7773.9501953125</v>
      </c>
      <c r="D416" s="45">
        <f>B416/B415-1</f>
        <v/>
      </c>
      <c r="E416" s="45">
        <f>C416/C415-1</f>
        <v/>
      </c>
      <c r="F416" s="35" t="n"/>
      <c r="G416" s="35" t="n"/>
      <c r="H416" s="33" t="n"/>
      <c r="I416" s="33" t="n"/>
      <c r="J416" s="33" t="n"/>
      <c r="K416" s="33" t="n"/>
      <c r="L416" s="33" t="n"/>
    </row>
    <row r="417">
      <c r="A417" s="36" t="inlineStr">
        <is>
          <t>2026-10-06</t>
        </is>
      </c>
      <c r="B417" s="76" t="n">
        <v>1660.4599609375</v>
      </c>
      <c r="C417" s="77" t="n">
        <v>7818.93017578125</v>
      </c>
      <c r="D417" s="45">
        <f>B417/B416-1</f>
        <v/>
      </c>
      <c r="E417" s="45">
        <f>C417/C416-1</f>
        <v/>
      </c>
      <c r="F417" s="35" t="n"/>
      <c r="G417" s="35" t="n"/>
      <c r="H417" s="33" t="n"/>
      <c r="I417" s="33" t="n"/>
      <c r="J417" s="33" t="n"/>
      <c r="K417" s="33" t="n"/>
      <c r="L417" s="33" t="n"/>
    </row>
    <row r="418">
      <c r="A418" s="36" t="inlineStr">
        <is>
          <t>2026-10-07</t>
        </is>
      </c>
      <c r="B418" s="76" t="n">
        <v>1692.420043945312</v>
      </c>
      <c r="C418" s="77" t="n">
        <v>7801.77001953125</v>
      </c>
      <c r="D418" s="45">
        <f>B418/B417-1</f>
        <v/>
      </c>
      <c r="E418" s="45">
        <f>C418/C417-1</f>
        <v/>
      </c>
      <c r="F418" s="35" t="n"/>
      <c r="G418" s="35" t="n"/>
      <c r="H418" s="33" t="n"/>
      <c r="I418" s="33" t="n"/>
      <c r="J418" s="33" t="n"/>
      <c r="K418" s="33" t="n"/>
      <c r="L418" s="33" t="n"/>
    </row>
    <row r="419">
      <c r="A419" s="36" t="inlineStr">
        <is>
          <t>2026-10-08</t>
        </is>
      </c>
      <c r="B419" s="76" t="n">
        <v>1609.4599609375</v>
      </c>
      <c r="C419" s="77" t="n">
        <v>7765.35986328125</v>
      </c>
      <c r="D419" s="45">
        <f>B419/B418-1</f>
        <v/>
      </c>
      <c r="E419" s="45">
        <f>C419/C418-1</f>
        <v/>
      </c>
      <c r="F419" s="35" t="n"/>
      <c r="G419" s="35" t="n"/>
      <c r="H419" s="33" t="n"/>
      <c r="I419" s="33" t="n"/>
      <c r="J419" s="33" t="n"/>
      <c r="K419" s="33" t="n"/>
      <c r="L419" s="33" t="n"/>
    </row>
    <row r="420">
      <c r="A420" s="36" t="inlineStr">
        <is>
          <t>2026-10-09</t>
        </is>
      </c>
      <c r="B420" s="76" t="n">
        <v>1581.819946289062</v>
      </c>
      <c r="C420" s="77" t="n">
        <v>7811.5400390625</v>
      </c>
      <c r="D420" s="45">
        <f>B420/B419-1</f>
        <v/>
      </c>
      <c r="E420" s="45">
        <f>C420/C419-1</f>
        <v/>
      </c>
      <c r="F420" s="35" t="n"/>
      <c r="G420" s="35" t="n"/>
      <c r="H420" s="33" t="n"/>
      <c r="I420" s="33" t="n"/>
      <c r="J420" s="33" t="n"/>
      <c r="K420" s="33" t="n"/>
      <c r="L420" s="33" t="n"/>
    </row>
    <row r="421">
      <c r="A421" s="36" t="inlineStr">
        <is>
          <t>2026-10-12</t>
        </is>
      </c>
      <c r="B421" s="76" t="n">
        <v>1487.329956054688</v>
      </c>
      <c r="C421" s="77" t="n">
        <v>7807.240234375</v>
      </c>
      <c r="D421" s="45">
        <f>B421/B420-1</f>
        <v/>
      </c>
      <c r="E421" s="45">
        <f>C421/C420-1</f>
        <v/>
      </c>
      <c r="F421" s="35" t="n"/>
      <c r="G421" s="35" t="n"/>
      <c r="H421" s="33" t="n"/>
      <c r="I421" s="33" t="n"/>
      <c r="J421" s="33" t="n"/>
      <c r="K421" s="33" t="n"/>
      <c r="L421" s="33" t="n"/>
    </row>
    <row r="422">
      <c r="A422" s="36" t="inlineStr">
        <is>
          <t>2026-10-13</t>
        </is>
      </c>
      <c r="B422" s="76" t="n">
        <v>1482.329956054688</v>
      </c>
      <c r="C422" s="77" t="n">
        <v>7805.4501953125</v>
      </c>
      <c r="D422" s="45">
        <f>B422/B421-1</f>
        <v/>
      </c>
      <c r="E422" s="45">
        <f>C422/C421-1</f>
        <v/>
      </c>
      <c r="F422" s="35" t="n"/>
      <c r="G422" s="35" t="n"/>
      <c r="H422" s="33" t="n"/>
      <c r="I422" s="33" t="n"/>
      <c r="J422" s="33" t="n"/>
      <c r="K422" s="33" t="n"/>
      <c r="L422" s="33" t="n"/>
    </row>
    <row r="423">
      <c r="A423" s="36" t="inlineStr">
        <is>
          <t>2026-10-14</t>
        </is>
      </c>
      <c r="B423" s="76" t="n">
        <v>1403.339965820312</v>
      </c>
      <c r="C423" s="77" t="n">
        <v>7718.93994140625</v>
      </c>
      <c r="D423" s="45">
        <f>B423/B422-1</f>
        <v/>
      </c>
      <c r="E423" s="45">
        <f>C423/C422-1</f>
        <v/>
      </c>
      <c r="F423" s="35" t="n"/>
      <c r="G423" s="35" t="n"/>
      <c r="H423" s="33" t="n"/>
      <c r="I423" s="33" t="n"/>
      <c r="J423" s="33" t="n"/>
      <c r="K423" s="33" t="n"/>
      <c r="L423" s="33" t="n"/>
    </row>
    <row r="424">
      <c r="A424" s="36" t="inlineStr">
        <is>
          <t>2026-10-15</t>
        </is>
      </c>
      <c r="B424" s="76" t="n">
        <v>1394.829956054688</v>
      </c>
      <c r="C424" s="77" t="n">
        <v>7744.06005859375</v>
      </c>
      <c r="D424" s="45">
        <f>B424/B423-1</f>
        <v/>
      </c>
      <c r="E424" s="45">
        <f>C424/C423-1</f>
        <v/>
      </c>
      <c r="F424" s="35" t="n"/>
      <c r="G424" s="35" t="n"/>
      <c r="H424" s="33" t="n"/>
      <c r="I424" s="33" t="n"/>
      <c r="J424" s="33" t="n"/>
      <c r="K424" s="33" t="n"/>
      <c r="L424" s="33" t="n"/>
    </row>
    <row r="425">
      <c r="A425" s="36" t="inlineStr">
        <is>
          <t>2026-10-16</t>
        </is>
      </c>
      <c r="B425" s="76" t="n">
        <v>1299.300048828125</v>
      </c>
      <c r="C425" s="77" t="n">
        <v>7659.43994140625</v>
      </c>
      <c r="D425" s="45">
        <f>B425/B424-1</f>
        <v/>
      </c>
      <c r="E425" s="45">
        <f>C425/C424-1</f>
        <v/>
      </c>
      <c r="F425" s="35" t="n"/>
      <c r="G425" s="35" t="n"/>
      <c r="H425" s="33" t="n"/>
      <c r="I425" s="33" t="n"/>
      <c r="J425" s="33" t="n"/>
      <c r="K425" s="33" t="n"/>
      <c r="L425" s="33" t="n"/>
    </row>
    <row r="426">
      <c r="A426" s="36" t="inlineStr">
        <is>
          <t>2026-10-19</t>
        </is>
      </c>
      <c r="B426" s="76" t="n">
        <v>1371.119995117188</v>
      </c>
      <c r="C426" s="77" t="n">
        <v>7690.72998046875</v>
      </c>
      <c r="D426" s="45">
        <f>B426/B425-1</f>
        <v/>
      </c>
      <c r="E426" s="45">
        <f>C426/C425-1</f>
        <v/>
      </c>
      <c r="F426" s="35" t="n"/>
      <c r="G426" s="35" t="n"/>
      <c r="H426" s="33" t="n"/>
      <c r="I426" s="33" t="n"/>
      <c r="J426" s="33" t="n"/>
      <c r="K426" s="33" t="n"/>
      <c r="L426" s="33" t="n"/>
    </row>
    <row r="427">
      <c r="A427" s="36" t="inlineStr">
        <is>
          <t>2026-10-20</t>
        </is>
      </c>
      <c r="B427" s="76" t="n">
        <v>1365.380004882812</v>
      </c>
      <c r="C427" s="77" t="n">
        <v>7712.56982421875</v>
      </c>
      <c r="D427" s="45">
        <f>B427/B426-1</f>
        <v/>
      </c>
      <c r="E427" s="45">
        <f>C427/C426-1</f>
        <v/>
      </c>
      <c r="F427" s="35" t="n"/>
      <c r="G427" s="35" t="n"/>
      <c r="H427" s="33" t="n"/>
      <c r="I427" s="33" t="n"/>
      <c r="J427" s="33" t="n"/>
      <c r="K427" s="33" t="n"/>
      <c r="L427" s="33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2026-10-20T21:15:12Z</dcterms:created>
  <dcterms:modified xmlns:dcterms="http://purl.org/dc/terms/" xmlns:xsi="http://www.w3.org/2001/XMLSchema-instance" xsi:type="dcterms:W3CDTF">2026-10-20T21:15:12Z</dcterms:modified>
</cp:coreProperties>
</file>