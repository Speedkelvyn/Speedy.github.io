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puts" sheetId="2" state="visible" r:id="rId4"/>
    <sheet name="Scenarios" sheetId="3" state="visible" r:id="rId5"/>
    <sheet name="1 History" sheetId="4" state="visible" r:id="rId6"/>
    <sheet name="2 Cash flows" sheetId="5" state="visible" r:id="rId7"/>
    <sheet name="3 Discount rate" sheetId="6" state="visible" r:id="rId8"/>
    <sheet name="4 Discount" sheetId="7" state="visible" r:id="rId9"/>
    <sheet name="5 Price" sheetId="8" state="visible" r:id="rId10"/>
    <sheet name="6 Verdict" sheetId="9" state="visible" r:id="rId11"/>
    <sheet name="Comps" sheetId="10" state="visible" r:id="rId12"/>
    <sheet name="Beta data" sheetId="11" state="visible" r:id="rId13"/>
  </sheets>
  <definedNames>
    <definedName function="false" hidden="false" localSheetId="0" name="_xlnm.Print_Area" vbProcedure="false">Dashboard!$A$1:$P$62</definedName>
    <definedName function="false" hidden="false" name="alpha" vbProcedure="false">'6 Verdict'!$B$18</definedName>
    <definedName function="false" hidden="false" name="band" vbProcedure="false">Inputs!$D$29</definedName>
    <definedName function="false" hidden="false" name="beta_bu" vbProcedure="false">Inputs!$D$20</definedName>
    <definedName function="false" hidden="false" name="beta_crsp" vbProcedure="false">Inputs!$D$18</definedName>
    <definedName function="false" hidden="false" name="beta_custom" vbProcedure="false">Inputs!$D$19</definedName>
    <definedName function="false" hidden="false" name="beta_daily" vbProcedure="false">'3 Discount rate'!$B$13</definedName>
    <definedName function="false" hidden="false" name="beta_daily_in" vbProcedure="false">Inputs!$D$17</definedName>
    <definedName function="false" hidden="false" name="beta_n" vbProcedure="false">'3 Discount rate'!$B$12</definedName>
    <definedName function="false" hidden="false" name="beta_r2" vbProcedure="false">'3 Discount rate'!$B$10</definedName>
    <definedName function="false" hidden="false" name="beta_raw" vbProcedure="false">Inputs!$D$16</definedName>
    <definedName function="false" hidden="false" name="beta_reg" vbProcedure="false">'3 Discount rate'!$B$9</definedName>
    <definedName function="false" hidden="false" name="beta_rm" vbProcedure="false">'Beta data'!$E$6:$E$505</definedName>
    <definedName function="false" hidden="false" name="beta_rs" vbProcedure="false">'Beta data'!$D$6:$D$505</definedName>
    <definedName function="false" hidden="false" name="beta_se" vbProcedure="false">'3 Discount rate'!$B$11</definedName>
    <definedName function="false" hidden="false" name="beta_src" vbProcedure="false">Inputs!$D$15</definedName>
    <definedName function="false" hidden="false" name="beta_used" vbProcedure="false">'3 Discount rate'!$B$14</definedName>
    <definedName function="false" hidden="false" name="capex_pct" vbProcedure="false">Inputs!$D$39</definedName>
    <definedName function="false" hidden="false" name="cash" vbProcedure="false">Inputs!$D$51</definedName>
    <definedName function="false" hidden="false" name="cf_last_ebitda" vbProcedure="false">'2 Cash flows'!$M$33</definedName>
    <definedName function="false" hidden="false" name="cf_last_nopat" vbProcedure="false">'2 Cash flows'!$M$28</definedName>
    <definedName function="false" hidden="false" name="comps_ps" vbProcedure="false">Comps!$E$24</definedName>
    <definedName function="false" hidden="false" name="core_debt" vbProcedure="false">Inputs!$D$52</definedName>
    <definedName function="false" hidden="false" name="corp_pct" vbProcedure="false">Inputs!$D$35</definedName>
    <definedName function="false" hidden="false" name="crp" vbProcedure="false">Inputs!$D$13</definedName>
    <definedName function="false" hidden="false" name="c_ebitda" vbProcedure="false">Comps!$C$15</definedName>
    <definedName function="false" hidden="false" name="c_eps" vbProcedure="false">Comps!$C$14</definedName>
    <definedName function="false" hidden="false" name="c_growth" vbProcedure="false">Comps!$E$42</definedName>
    <definedName function="false" hidden="false" name="c_nd" vbProcedure="false">Comps!$C$17</definedName>
    <definedName function="false" hidden="false" name="c_rev" vbProcedure="false">Comps!$C$16</definedName>
    <definedName function="false" hidden="false" name="da_pct" vbProcedure="false">Inputs!$D$38</definedName>
    <definedName function="false" hidden="false" name="dfs_debt" vbProcedure="false">Inputs!$D$56</definedName>
    <definedName function="false" hidden="false" name="dfs_le" vbProcedure="false">Inputs!$D$55</definedName>
    <definedName function="false" hidden="false" name="dfs_net" vbProcedure="false">'5 Price'!$B$9</definedName>
    <definedName function="false" hidden="false" name="dfs_rec" vbProcedure="false">Inputs!$D$54</definedName>
    <definedName function="false" hidden="false" name="dilution" vbProcedure="false">Inputs!$D$8</definedName>
    <definedName function="false" hidden="false" name="dil_sh" vbProcedure="false">'5 Price'!$B$13</definedName>
    <definedName function="false" hidden="false" name="disc_rate" vbProcedure="false">'3 Discount rate'!$B$24</definedName>
    <definedName function="false" hidden="false" name="dps" vbProcedure="false">Inputs!$D$9</definedName>
    <definedName function="false" hidden="false" name="d_val" vbProcedure="false">'3 Discount rate'!$B$20</definedName>
    <definedName function="false" hidden="false" name="equity" vbProcedure="false">'5 Price'!$B$12</definedName>
    <definedName function="false" hidden="false" name="eq_accr" vbProcedure="false">'1 History'!$B$47</definedName>
    <definedName function="false" hidden="false" name="eq_amber" vbProcedure="false">'1 History'!$B$50</definedName>
    <definedName function="false" hidden="false" name="eq_cc" vbProcedure="false">'1 History'!$B$48</definedName>
    <definedName function="false" hidden="false" name="eq_gate" vbProcedure="false">Inputs!$D$32</definedName>
    <definedName function="false" hidden="false" name="eq_grade" vbProcedure="false">'1 History'!$B$51</definedName>
    <definedName function="false" hidden="false" name="eq_grade_x" vbProcedure="false">'6 Verdict'!$B$12</definedName>
    <definedName function="false" hidden="false" name="eq_m" vbProcedure="false">'1 History'!$D$45</definedName>
    <definedName function="false" hidden="false" name="eq_prem" vbProcedure="false">'3 Discount rate'!$B$15</definedName>
    <definedName function="false" hidden="false" name="eq_red" vbProcedure="false">'1 History'!$B$49</definedName>
    <definedName function="false" hidden="false" name="ev" vbProcedure="false">'4 Discount'!$B$19</definedName>
    <definedName function="false" hidden="false" name="ev_x" vbProcedure="false">'5 Price'!$B$5</definedName>
    <definedName function="false" hidden="false" name="exit_mult" vbProcedure="false">Inputs!$D$42</definedName>
    <definedName function="false" hidden="false" name="exp_ret" vbProcedure="false">'6 Verdict'!$B$16</definedName>
    <definedName function="false" hidden="false" name="e_val" vbProcedure="false">'3 Discount rate'!$B$19</definedName>
    <definedName function="false" hidden="false" name="fair" vbProcedure="false">'6 Verdict'!$B$10</definedName>
    <definedName function="false" hidden="false" name="first_period" vbProcedure="false">Inputs!$D$25</definedName>
    <definedName function="false" hidden="false" name="g" vbProcedure="false">Inputs!$D$24</definedName>
    <definedName function="false" hidden="false" name="horizon" vbProcedure="false">Inputs!$D$30</definedName>
    <definedName function="false" hidden="false" name="investments" vbProcedure="false">Inputs!$D$57</definedName>
    <definedName function="false" hidden="false" name="kd" vbProcedure="false">Inputs!$D$21</definedName>
    <definedName function="false" hidden="false" name="kd_after" vbProcedure="false">'3 Discount rate'!$B$18</definedName>
    <definedName function="false" hidden="false" name="ke" vbProcedure="false">'3 Discount rate'!$B$16</definedName>
    <definedName function="false" hidden="false" name="leases" vbProcedure="false">Inputs!$D$53</definedName>
    <definedName function="false" hidden="false" name="mcap_now" vbProcedure="false">'5 Price'!$B$17</definedName>
    <definedName function="false" hidden="false" name="midyear" vbProcedure="false">Inputs!$D$27</definedName>
    <definedName function="false" hidden="false" name="model_mcap_gap" vbProcedure="false">'5 Price'!$B$18</definedName>
    <definedName function="false" hidden="false" name="model_ps" vbProcedure="false">'5 Price'!$B$14</definedName>
    <definedName function="false" hidden="false" name="model_up" vbProcedure="false">'5 Price'!$B$16</definedName>
    <definedName function="false" hidden="false" name="mrp" vbProcedure="false">'3 Discount rate'!$B$8</definedName>
    <definedName function="false" hidden="false" name="nci" vbProcedure="false">Inputs!$D$58</definedName>
    <definedName function="false" hidden="false" name="nwc_pct" vbProcedure="false">Inputs!$D$40</definedName>
    <definedName function="false" hidden="false" name="pv_exit" vbProcedure="false">'4 Discount'!$B$17</definedName>
    <definedName function="false" hidden="false" name="pv_gordon" vbProcedure="false">'4 Discount'!$B$15</definedName>
    <definedName function="false" hidden="false" name="pv_sum" vbProcedure="false">'4 Discount'!$B$11</definedName>
    <definedName function="false" hidden="false" name="pv_tv" vbProcedure="false">'4 Discount'!$B$18</definedName>
    <definedName function="false" hidden="false" name="px_now" vbProcedure="false">Inputs!$D$6</definedName>
    <definedName function="false" hidden="false" name="raw_call" vbProcedure="false">'6 Verdict'!$B$13</definedName>
    <definedName function="false" hidden="false" name="reg_a" vbProcedure="false">Comps!$E$39</definedName>
    <definedName function="false" hidden="false" name="reg_b" vbProcedure="false">Comps!$E$38</definedName>
    <definedName function="false" hidden="false" name="reg_min" vbProcedure="false">Inputs!$D$31</definedName>
    <definedName function="false" hidden="false" name="reg_mult" vbProcedure="false">Comps!$E$43</definedName>
    <definedName function="false" hidden="false" name="reg_n" vbProcedure="false">Comps!$E$41</definedName>
    <definedName function="false" hidden="false" name="reg_ps" vbProcedure="false">Comps!$E$44</definedName>
    <definedName function="false" hidden="false" name="reg_r2" vbProcedure="false">Comps!$E$40</definedName>
    <definedName function="false" hidden="false" name="req_ret" vbProcedure="false">'6 Verdict'!$B$17</definedName>
    <definedName function="false" hidden="false" name="rev_y0" vbProcedure="false">Inputs!$D$34</definedName>
    <definedName function="false" hidden="false" name="rf" vbProcedure="false">Inputs!$D$11</definedName>
    <definedName function="false" hidden="false" name="rf_x" vbProcedure="false">'3 Discount rate'!$B$6</definedName>
    <definedName function="false" hidden="false" name="rm" vbProcedure="false">Inputs!$D$12</definedName>
    <definedName function="false" hidden="false" name="rm_x" vbProcedure="false">'3 Discount rate'!$B$7</definedName>
    <definedName function="false" hidden="false" name="ronic" vbProcedure="false">Inputs!$D$41</definedName>
    <definedName function="false" hidden="false" name="scen_name" vbProcedure="false">Dashboard!$B$5</definedName>
    <definedName function="false" hidden="false" name="scen_sel" vbProcedure="false">Dashboard!$P$4</definedName>
    <definedName function="false" hidden="false" name="segy1_ai" vbProcedure="false">Inputs!$D$44</definedName>
    <definedName function="false" hidden="false" name="segy1_comm" vbProcedure="false">Inputs!$D$47</definedName>
    <definedName function="false" hidden="false" name="segy1_cons" vbProcedure="false">Inputs!$D$48</definedName>
    <definedName function="false" hidden="false" name="segy1_other" vbProcedure="false">Inputs!$D$49</definedName>
    <definedName function="false" hidden="false" name="segy1_storage" vbProcedure="false">Inputs!$D$46</definedName>
    <definedName function="false" hidden="false" name="segy1_trad" vbProcedure="false">Inputs!$D$45</definedName>
    <definedName function="false" hidden="false" name="shares_basic" vbProcedure="false">Inputs!$D$7</definedName>
    <definedName function="false" hidden="false" name="size_prem" vbProcedure="false">Inputs!$D$14</definedName>
    <definedName function="false" hidden="false" name="stub" vbProcedure="false">Inputs!$D$26</definedName>
    <definedName function="false" hidden="false" name="s_g_ai_0" vbProcedure="false">Scenarios!$E$5</definedName>
    <definedName function="false" hidden="false" name="s_g_ai_1" vbProcedure="false">Scenarios!$E$6</definedName>
    <definedName function="false" hidden="false" name="s_g_ai_2" vbProcedure="false">Scenarios!$E$7</definedName>
    <definedName function="false" hidden="false" name="s_g_ai_3" vbProcedure="false">Scenarios!$E$8</definedName>
    <definedName function="false" hidden="false" name="s_g_comm_0" vbProcedure="false">Scenarios!$E$17</definedName>
    <definedName function="false" hidden="false" name="s_g_comm_1" vbProcedure="false">Scenarios!$E$18</definedName>
    <definedName function="false" hidden="false" name="s_g_comm_2" vbProcedure="false">Scenarios!$E$19</definedName>
    <definedName function="false" hidden="false" name="s_g_comm_3" vbProcedure="false">Scenarios!$E$20</definedName>
    <definedName function="false" hidden="false" name="s_g_cons_0" vbProcedure="false">Scenarios!$E$21</definedName>
    <definedName function="false" hidden="false" name="s_g_cons_1" vbProcedure="false">Scenarios!$E$22</definedName>
    <definedName function="false" hidden="false" name="s_g_cons_2" vbProcedure="false">Scenarios!$E$23</definedName>
    <definedName function="false" hidden="false" name="s_g_cons_3" vbProcedure="false">Scenarios!$E$24</definedName>
    <definedName function="false" hidden="false" name="s_g_other_0" vbProcedure="false">Scenarios!$E$25</definedName>
    <definedName function="false" hidden="false" name="s_g_other_1" vbProcedure="false">Scenarios!$E$26</definedName>
    <definedName function="false" hidden="false" name="s_g_other_2" vbProcedure="false">Scenarios!$E$27</definedName>
    <definedName function="false" hidden="false" name="s_g_other_3" vbProcedure="false">Scenarios!$E$28</definedName>
    <definedName function="false" hidden="false" name="s_g_storage_0" vbProcedure="false">Scenarios!$E$13</definedName>
    <definedName function="false" hidden="false" name="s_g_storage_1" vbProcedure="false">Scenarios!$E$14</definedName>
    <definedName function="false" hidden="false" name="s_g_storage_2" vbProcedure="false">Scenarios!$E$15</definedName>
    <definedName function="false" hidden="false" name="s_g_storage_3" vbProcedure="false">Scenarios!$E$16</definedName>
    <definedName function="false" hidden="false" name="s_g_trad_0" vbProcedure="false">Scenarios!$E$9</definedName>
    <definedName function="false" hidden="false" name="s_g_trad_1" vbProcedure="false">Scenarios!$E$10</definedName>
    <definedName function="false" hidden="false" name="s_g_trad_2" vbProcedure="false">Scenarios!$E$11</definedName>
    <definedName function="false" hidden="false" name="s_g_trad_3" vbProcedure="false">Scenarios!$E$12</definedName>
    <definedName function="false" hidden="false" name="s_m0_ai" vbProcedure="false">Scenarios!$E$29</definedName>
    <definedName function="false" hidden="false" name="s_m0_core" vbProcedure="false">Scenarios!$E$31</definedName>
    <definedName function="false" hidden="false" name="s_m0_csg" vbProcedure="false">Scenarios!$E$33</definedName>
    <definedName function="false" hidden="false" name="s_m1_ai" vbProcedure="false">Scenarios!$E$30</definedName>
    <definedName function="false" hidden="false" name="s_m1_core" vbProcedure="false">Scenarios!$E$32</definedName>
    <definedName function="false" hidden="false" name="s_m1_csg" vbProcedure="false">Scenarios!$E$34</definedName>
    <definedName function="false" hidden="false" name="tax_lr" vbProcedure="false">Inputs!$D$37</definedName>
    <definedName function="false" hidden="false" name="tax_y1" vbProcedure="false">Inputs!$D$36</definedName>
    <definedName function="false" hidden="false" name="tv_exit" vbProcedure="false">'4 Discount'!$B$16</definedName>
    <definedName function="false" hidden="false" name="tv_gordon" vbProcedure="false">'4 Discount'!$B$14</definedName>
    <definedName function="false" hidden="false" name="tv_method" vbProcedure="false">Inputs!$D$43</definedName>
    <definedName function="false" hidden="false" name="tv_share" vbProcedure="false">'4 Discount'!$B$20</definedName>
    <definedName function="false" hidden="false" name="t_marg" vbProcedure="false">Inputs!$D$22</definedName>
    <definedName function="false" hidden="false" name="t_n" vbProcedure="false">'4 Discount'!$B$13</definedName>
    <definedName function="false" hidden="false" name="upside" vbProcedure="false">'6 Verdict'!$B$11</definedName>
    <definedName function="false" hidden="false" name="v_call" vbProcedure="false">'6 Verdict'!$B$14</definedName>
    <definedName function="false" hidden="false" name="v_conf" vbProcedure="false">'6 Verdict'!$B$15</definedName>
    <definedName function="false" hidden="false" name="wacc" vbProcedure="false">'3 Discount rate'!$B$23</definedName>
    <definedName function="false" hidden="false" name="w_d" vbProcedure="false">'3 Discount rate'!$B$22</definedName>
    <definedName function="false" hidden="false" name="w_e" vbProcedure="false">'3 Discount rate'!$B$21</definedName>
    <definedName function="false" hidden="false" name="x_cash" vbProcedure="false">'5 Price'!$B$8</definedName>
    <definedName function="false" hidden="false" name="x_debt" vbProcedure="false">'5 Price'!$B$6</definedName>
    <definedName function="false" hidden="false" name="x_inv" vbProcedure="false">'5 Price'!$B$10</definedName>
    <definedName function="false" hidden="false" name="x_leases" vbProcedure="false">'5 Price'!$B$7</definedName>
    <definedName function="false" hidden="false" name="x_nci" vbProcedure="false">'5 Price'!$B$11</definedName>
    <definedName function="false" hidden="false" name="x_price" vbProcedure="false">'5 Price'!$B$15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<sst xmlns="http://schemas.openxmlformats.org/spreadsheetml/2006/main" count="1174" uniqueCount="1005">
  <si>
    <t xml:space="preserve">Dell Technologies Inc.  ·  DELL</t>
  </si>
  <si>
    <t xml:space="preserve">Valuation framework  ·  FCFF DCF  ·  valuation date 2026-10-16  ·  USD millions except per share</t>
  </si>
  <si>
    <t xml:space="preserve">chart data (live)</t>
  </si>
  <si>
    <t xml:space="preserve">SCENARIO</t>
  </si>
  <si>
    <t xml:space="preserve">Method</t>
  </si>
  <si>
    <t xml:space="preserve">Value</t>
  </si>
  <si>
    <t xml:space="preserve">Price</t>
  </si>
  <si>
    <t xml:space="preserve">Base</t>
  </si>
  <si>
    <t xml:space="preserve">◂ pick Bear, Base or Bull; every sheet re-values</t>
  </si>
  <si>
    <t xml:space="preserve">DCF</t>
  </si>
  <si>
    <t xml:space="preserve">Monte Carlo</t>
  </si>
  <si>
    <t xml:space="preserve">FAIR VALUE / SHARE</t>
  </si>
  <si>
    <t xml:space="preserve">SHARE PRICE</t>
  </si>
  <si>
    <t xml:space="preserve">UPSIDE</t>
  </si>
  <si>
    <t xml:space="preserve">CALL</t>
  </si>
  <si>
    <t xml:space="preserve">EXPECTED ALPHA</t>
  </si>
  <si>
    <t xml:space="preserve">DISCOUNT RATE</t>
  </si>
  <si>
    <t xml:space="preserve">EARNINGS QUALITY</t>
  </si>
  <si>
    <t xml:space="preserve">Comps</t>
  </si>
  <si>
    <t xml:space="preserve">Regression</t>
  </si>
  <si>
    <t xml:space="preserve">blended, step 6</t>
  </si>
  <si>
    <t xml:space="preserve">2026-10-15</t>
  </si>
  <si>
    <t xml:space="preserve">fair ÷ price − 1</t>
  </si>
  <si>
    <t xml:space="preserve">±10% band</t>
  </si>
  <si>
    <t xml:space="preserve">1-year, vs Ke</t>
  </si>
  <si>
    <t xml:space="preserve">WACC</t>
  </si>
  <si>
    <t xml:space="preserve">grade A–D, step 1</t>
  </si>
  <si>
    <t xml:space="preserve">Blended</t>
  </si>
  <si>
    <t xml:space="preserve">Present value of</t>
  </si>
  <si>
    <t xml:space="preserve">Forecast years</t>
  </si>
  <si>
    <t xml:space="preserve">Terminal value</t>
  </si>
  <si>
    <t xml:space="preserve">HOW TO USE</t>
  </si>
  <si>
    <t xml:space="preserve">1 History</t>
  </si>
  <si>
    <t xml:space="preserve">historic performance and earnings quality</t>
  </si>
  <si>
    <t xml:space="preserve">2 Cash flows</t>
  </si>
  <si>
    <t xml:space="preserve">the forecast that produces the cash flows</t>
  </si>
  <si>
    <t xml:space="preserve">3 Discount rate</t>
  </si>
  <si>
    <t xml:space="preserve">rf, Rm, MRP, beta from daily returns, Ke, WACC</t>
  </si>
  <si>
    <t xml:space="preserve">4 Discount</t>
  </si>
  <si>
    <t xml:space="preserve">present values and the terminal value</t>
  </si>
  <si>
    <t xml:space="preserve">5 Price</t>
  </si>
  <si>
    <t xml:space="preserve">enterprise value → equity value → ÷ shares → price</t>
  </si>
  <si>
    <t xml:space="preserve">6 Verdict</t>
  </si>
  <si>
    <t xml:space="preserve">methods blended into the call and expected alpha</t>
  </si>
  <si>
    <t xml:space="preserve">Inputs</t>
  </si>
  <si>
    <t xml:space="preserve">every input: pulled value, your value (yellow), source</t>
  </si>
  <si>
    <t xml:space="preserve">Scenarios</t>
  </si>
  <si>
    <t xml:space="preserve">Bear / Base / Bull drivers</t>
  </si>
  <si>
    <t xml:space="preserve">COLOUR CODE</t>
  </si>
  <si>
    <t xml:space="preserve">123</t>
  </si>
  <si>
    <t xml:space="preserve">blue: typed input or pulled data</t>
  </si>
  <si>
    <t xml:space="preserve">black: formula</t>
  </si>
  <si>
    <t xml:space="preserve">yellow: your value (overrides the pulled one)</t>
  </si>
  <si>
    <t xml:space="preserve">pale blue: key result of a step</t>
  </si>
  <si>
    <t xml:space="preserve">SOURCES</t>
  </si>
  <si>
    <t xml:space="preserve">price, peers, beta(5Y), TTM revenue/EBITDA, fwd P/E</t>
  </si>
  <si>
    <t xml:space="preserve">StockAnalysis.com statistics pages, close 15-Oct-2026</t>
  </si>
  <si>
    <t xml:space="preserve">FY26 results, FY25 comparatives</t>
  </si>
  <si>
    <t xml:space="preserve">Dell Q4/FY26 release, BusinessWire 26-Feb-2026</t>
  </si>
  <si>
    <t xml:space="preserve">Q1 FY27 segments</t>
  </si>
  <si>
    <t xml:space="preserve">Dell Q1 FY27 release (quarter ended 1-May-2026)</t>
  </si>
  <si>
    <t xml:space="preserve">Q2 FY27 segments, guidance</t>
  </si>
  <si>
    <t xml:space="preserve">Dell Q2 FY27 release (quarter ended 31-Jul-2026)</t>
  </si>
  <si>
    <t xml:space="preserve">Debt split, DFS, receivables, NWC items, D&amp;A, capex</t>
  </si>
  <si>
    <t xml:space="preserve">Dell 10-Q for quarter ended 31-Jul-2026</t>
  </si>
  <si>
    <t xml:space="preserve">Consensus EPS/revenue</t>
  </si>
  <si>
    <t xml:space="preserve">Yahoo Finance analysis page and StockAnalysis forecast, Oct-2026</t>
  </si>
  <si>
    <t xml:space="preserve">Price targets, ratings</t>
  </si>
  <si>
    <t xml:space="preserve">StockAnalysis forecast (29 analysts), MarketBeat</t>
  </si>
  <si>
    <t xml:space="preserve">Risk-free</t>
  </si>
  <si>
    <t xml:space="preserve">10Y UST 5.10%, YCharts, 15-Oct-2026</t>
  </si>
  <si>
    <t xml:space="preserve">ERP</t>
  </si>
  <si>
    <t xml:space="preserve">Damodaran implied ERP 4.23%, Jan-2026</t>
  </si>
  <si>
    <t xml:space="preserve">Cost of debt</t>
  </si>
  <si>
    <t xml:space="preserve">ICE BofA BBB US Corporate effective yield 6.14%, FRED 14-Oct-2026; Dell rated BBB+/Baa2/BBB+</t>
  </si>
  <si>
    <t xml:space="preserve">FY26 sub-segment split (AI vs traditional; commercial vs consumer)</t>
  </si>
  <si>
    <t xml:space="preserve">Estimated from Q4 FY26 disclosures (&gt;$25B AI shipped in FY26)</t>
  </si>
  <si>
    <t xml:space="preserve">FY24-FY26 statements</t>
  </si>
  <si>
    <t xml:space="preserve">Dell 10-K FY2026 XBRL statements (EDGAR R pages): income statement, balance sheet, cash flow, equity</t>
  </si>
  <si>
    <t xml:space="preserve">Long-run history FY12-FY24</t>
  </si>
  <si>
    <t xml:space="preserve">Compustat annual via WRDS CRSP/Compustat merged file (CCM.parquet on your Desktop)</t>
  </si>
  <si>
    <t xml:space="preserve">CRSP monthly beta</t>
  </si>
  <si>
    <t xml:space="preserve">CRSP monthly returns vs S&amp;P 500 (sprtrn), Jan-2020 to Dec-2024, from CCM.parquet</t>
  </si>
  <si>
    <t xml:space="preserve">Daily beta</t>
  </si>
  <si>
    <t xml:space="preserve">Kelvin's Colab run: yfinance adjusted closes, DELL vs ^GSPC, 17-Oct-2024 to 15-Oct-2026</t>
  </si>
  <si>
    <t xml:space="preserve">Yellow = type your own value to override the pulled one. Column D is what every formula uses.</t>
  </si>
  <si>
    <t xml:space="preserve">Input</t>
  </si>
  <si>
    <t xml:space="preserve">Pulled value</t>
  </si>
  <si>
    <t xml:space="preserve">Your value</t>
  </si>
  <si>
    <t xml:space="preserve">Value used</t>
  </si>
  <si>
    <t xml:space="preserve">Unit</t>
  </si>
  <si>
    <t xml:space="preserve">Origin</t>
  </si>
  <si>
    <t xml:space="preserve">Source / basis</t>
  </si>
  <si>
    <t xml:space="preserve">Market</t>
  </si>
  <si>
    <t xml:space="preserve">Share price</t>
  </si>
  <si>
    <t xml:space="preserve">$</t>
  </si>
  <si>
    <t xml:space="preserve">sourced</t>
  </si>
  <si>
    <t xml:space="preserve">StockAnalysis / Yahoo, 15-Oct-2026 close (Yahoo regularMarketPrice 473.39)</t>
  </si>
  <si>
    <t xml:space="preserve">Shares outstanding</t>
  </si>
  <si>
    <t xml:space="preserve">m</t>
  </si>
  <si>
    <t xml:space="preserve">Q2 FY27 10-Q cover: 635,812,750 shares at 1-Sep-2026</t>
  </si>
  <si>
    <t xml:space="preserve">Dilution (options, RSUs)</t>
  </si>
  <si>
    <t xml:space="preserve">assumption</t>
  </si>
  <si>
    <t xml:space="preserve">~10M RSUs/options; Yahoo feed implies 11.9M (diluted avg − ordinary)</t>
  </si>
  <si>
    <t xml:space="preserve">Dividend per share (for expected return)</t>
  </si>
  <si>
    <t xml:space="preserve">$0.63 quarterly × 4 (Q2 FY27 release)</t>
  </si>
  <si>
    <t xml:space="preserve">Cost of capital</t>
  </si>
  <si>
    <t xml:space="preserve">Risk-free rate: 10-year Treasury yield</t>
  </si>
  <si>
    <t xml:space="preserve">%</t>
  </si>
  <si>
    <t xml:space="preserve">10Y UST 5.10% (YCharts 15-Oct-2026; Yahoo ^TNX 5.089)</t>
  </si>
  <si>
    <t xml:space="preserve">Expected market return (Rm)</t>
  </si>
  <si>
    <t xml:space="preserve">rf + ERP = 9.33%; replace with your expected market return</t>
  </si>
  <si>
    <t xml:space="preserve">Country risk premium</t>
  </si>
  <si>
    <t xml:space="preserve">0 for the US</t>
  </si>
  <si>
    <t xml:space="preserve">Size premium</t>
  </si>
  <si>
    <t xml:space="preserve">setting</t>
  </si>
  <si>
    <t xml:space="preserve">Beta used: daily_adj, daily, blume, raw, crsp_monthly(_adj), bottom_up, custom</t>
  </si>
  <si>
    <t xml:space="preserve">daily_adj</t>
  </si>
  <si>
    <t xml:space="preserve">Beta, published 5-year monthly</t>
  </si>
  <si>
    <t xml:space="preserve">Yahoo summaryDetail.beta 1.442 (5Y monthly)</t>
  </si>
  <si>
    <t xml:space="preserve">Beta, daily regression (used only if Beta data is empty)</t>
  </si>
  <si>
    <t xml:space="preserve">derived</t>
  </si>
  <si>
    <t xml:space="preserve">OLS slope of DELL daily returns on S&amp;P 500 daily returns, Yahoo adjusted closes 16-Oct-2024 to 15-Oct-2026 (500 returns); same as your Colab run (1.9932)</t>
  </si>
  <si>
    <t xml:space="preserve">Beta, CRSP monthly regression</t>
  </si>
  <si>
    <t xml:space="preserve">OLS of DELL monthly CRSP returns on the S&amp;P 500 (sprtrn), WRDS CRSP monthly file in CCM.parquet (wrds_history.py)</t>
  </si>
  <si>
    <t xml:space="preserve">Beta, custom</t>
  </si>
  <si>
    <t xml:space="preserve">placeholder</t>
  </si>
  <si>
    <t xml:space="preserve">Beta, bottom-up from peers (relevered)</t>
  </si>
  <si>
    <t xml:space="preserve">formula</t>
  </si>
  <si>
    <t xml:space="preserve">median unlevered peer beta, relevered at this company's D/E</t>
  </si>
  <si>
    <t xml:space="preserve">Pre-tax cost of debt</t>
  </si>
  <si>
    <t xml:space="preserve">ICE BofA BBB US Corporate effective yield 6.14% (FRED, 14-Oct-2026); Dell BBB+/Baa2</t>
  </si>
  <si>
    <t xml:space="preserve">Marginal tax rate</t>
  </si>
  <si>
    <t xml:space="preserve">21% US statutory</t>
  </si>
  <si>
    <t xml:space="preserve">Timing and terminal</t>
  </si>
  <si>
    <t xml:space="preserve">Terminal growth</t>
  </si>
  <si>
    <t xml:space="preserve">3% long-run nominal growth (below rf 5.1%)</t>
  </si>
  <si>
    <t xml:space="preserve">Years from today to the first fiscal year end</t>
  </si>
  <si>
    <t xml:space="preserve">yrs</t>
  </si>
  <si>
    <t xml:space="preserve">16-Oct-2026 → FY27 end 29-Jan-2027 = 105 days</t>
  </si>
  <si>
    <t xml:space="preserve">Share of the first year after the last balance sheet</t>
  </si>
  <si>
    <t xml:space="preserve">H2 FY27 share of guided revenue: (192.0 − 90.8) ÷ 192.0</t>
  </si>
  <si>
    <t xml:space="preserve">Mid-year convention (1 = yes, 0 = year-end)</t>
  </si>
  <si>
    <t xml:space="preserve">Verdict</t>
  </si>
  <si>
    <t xml:space="preserve">Fairly-valued band (±)</t>
  </si>
  <si>
    <t xml:space="preserve">±10% treated as fairly valued</t>
  </si>
  <si>
    <t xml:space="preserve">Years for price to converge to value</t>
  </si>
  <si>
    <t xml:space="preserve">convergence horizon</t>
  </si>
  <si>
    <t xml:space="preserve">Peer regression used only if R² is at least</t>
  </si>
  <si>
    <t xml:space="preserve">a peer regression with R² below 0.30 explains too little of the peer spread to be used in the blend</t>
  </si>
  <si>
    <t xml:space="preserve">Earnings-quality gate (1 = grade D withholds the call)</t>
  </si>
  <si>
    <t xml:space="preserve">Operating</t>
  </si>
  <si>
    <t xml:space="preserve">Last fiscal-year revenue</t>
  </si>
  <si>
    <t xml:space="preserve">$m</t>
  </si>
  <si>
    <t xml:space="preserve">Dell FY2026 10-K: FY26 revenue 113,538</t>
  </si>
  <si>
    <t xml:space="preserve">Corporate costs % revenue</t>
  </si>
  <si>
    <t xml:space="preserve">H1 FY27: segment OI 10,148 − GAAP OI 9,046 = 1,102 on 90.8B revenue = 1.2%</t>
  </si>
  <si>
    <t xml:space="preserve">Tax rate, year 1</t>
  </si>
  <si>
    <t xml:space="preserve">H1 FY27 effective tax 16.6%, Q2 19.4%; 18% used</t>
  </si>
  <si>
    <t xml:space="preserve">Tax rate, long run (from year 5)</t>
  </si>
  <si>
    <t xml:space="preserve">20% long run</t>
  </si>
  <si>
    <t xml:space="preserve">D&amp;A % revenue</t>
  </si>
  <si>
    <t xml:space="preserve">H1 FY27 D&amp;A 1,512 ÷ revenue 90,811 = 1.67%</t>
  </si>
  <si>
    <t xml:space="preserve">Capex % revenue</t>
  </si>
  <si>
    <t xml:space="preserve">H1 FY27 capex 2,202 ÷ revenue 90,811 = 2.4%</t>
  </si>
  <si>
    <t xml:space="preserve">ΔNWC % of Δrevenue</t>
  </si>
  <si>
    <t xml:space="preserve">Jan→Jul 2026 change in operating NWC ÷ change in TTM revenue ≈ −7%</t>
  </si>
  <si>
    <t xml:space="preserve">Return on new invested capital (terminal)</t>
  </si>
  <si>
    <t xml:space="preserve">20% return on new capital (Dell ROIC 22% FY26 per Compustat/10-K)</t>
  </si>
  <si>
    <t xml:space="preserve">Exit EV/EBITDA multiple (cross-check)</t>
  </si>
  <si>
    <t xml:space="preserve">x</t>
  </si>
  <si>
    <t xml:space="preserve">12x EBITDA cross-check</t>
  </si>
  <si>
    <t xml:space="preserve">Terminal method: gordon or exit</t>
  </si>
  <si>
    <t xml:space="preserve">gordon</t>
  </si>
  <si>
    <t xml:space="preserve">Year-1 revenue: AI-optimised servers</t>
  </si>
  <si>
    <t xml:space="preserve">FY27 guide $74B AI-server revenue (Q2 FY27 release)</t>
  </si>
  <si>
    <t xml:space="preserve">Year-1 revenue: Traditional servers &amp; networking</t>
  </si>
  <si>
    <t xml:space="preserve">H1 actual 19.1B + H2 assumed ~21B</t>
  </si>
  <si>
    <t xml:space="preserve">Year-1 revenue: Storage</t>
  </si>
  <si>
    <t xml:space="preserve">H1 actual 9.2B + H2 assumed ~10.1B</t>
  </si>
  <si>
    <t xml:space="preserve">Year-1 revenue: CSG commercial</t>
  </si>
  <si>
    <t xml:space="preserve">H1 actual 26.2B + H2 assumed</t>
  </si>
  <si>
    <t xml:space="preserve">Year-1 revenue: CSG consumer</t>
  </si>
  <si>
    <t xml:space="preserve">H1 actual 3.4B + H2 assumed</t>
  </si>
  <si>
    <t xml:space="preserve">Year-1 revenue: Other</t>
  </si>
  <si>
    <t xml:space="preserve">assumed ~$0.6B</t>
  </si>
  <si>
    <t xml:space="preserve">Equity bridge</t>
  </si>
  <si>
    <t xml:space="preserve">Cash and equivalents</t>
  </si>
  <si>
    <t xml:space="preserve">Dell Q2 FY27 10-Q (31-Jul-2026): 11,569</t>
  </si>
  <si>
    <t xml:space="preserve">Debt excluding leases</t>
  </si>
  <si>
    <t xml:space="preserve">Dell Q2 FY27 10-Q (31-Jul-2026): total debt 34,466 − DFS debt 9,618 (carrying, approx.)</t>
  </si>
  <si>
    <t xml:space="preserve">Lease liabilities</t>
  </si>
  <si>
    <t xml:space="preserve">stockanalysis lease liabilities 727 (Jan-2026)</t>
  </si>
  <si>
    <t xml:space="preserve">Captive-finance receivables</t>
  </si>
  <si>
    <t xml:space="preserve">0: DFS results are included in ISG/CSG segment operating income (FY2026 10-K: 'The results of these operations are allocated to our segments based on the underlying product or service financed'), so adding DFS net assets as well would count DFS twice. Reported value kept in bridge_dfs_reported.</t>
  </si>
  <si>
    <t xml:space="preserve">Captive-finance lease equipment</t>
  </si>
  <si>
    <t xml:space="preserve">Captive-finance debt</t>
  </si>
  <si>
    <t xml:space="preserve">0 here; DFS debt (9,618, Q2 FY27 10-Q) is also left out of 'Debt excluding leases' because the DFS business it funds is valued inside operating income. Alternative: deduct it too (−$14.9 a share).</t>
  </si>
  <si>
    <t xml:space="preserve">Non-operating investments</t>
  </si>
  <si>
    <t xml:space="preserve">Dell FY2026 10-K: long-term investments 1,730</t>
  </si>
  <si>
    <t xml:space="preserve">Non-controlling interests</t>
  </si>
  <si>
    <t xml:space="preserve">Dell FY2026 10-K: non-controlling interests 0</t>
  </si>
  <si>
    <t xml:space="preserve">Blue cells are the drivers for each case; column E is the case picked by the switch on the Dashboard.</t>
  </si>
  <si>
    <t xml:space="preserve">Driver</t>
  </si>
  <si>
    <t xml:space="preserve">Bear</t>
  </si>
  <si>
    <t xml:space="preserve">Bull</t>
  </si>
  <si>
    <t xml:space="preserve">Used</t>
  </si>
  <si>
    <t xml:space="preserve">Notes</t>
  </si>
  <si>
    <t xml:space="preserve">Revenue growth: AI-optimised servers, year 2</t>
  </si>
  <si>
    <t xml:space="preserve">Base FY28 total set to land on consensus FY28 revenue $229.1B (Yahoo earningsTrend +1y)</t>
  </si>
  <si>
    <t xml:space="preserve">Revenue growth: AI-optimised servers, year 3</t>
  </si>
  <si>
    <t xml:space="preserve">analyst judgement (my assumption)</t>
  </si>
  <si>
    <t xml:space="preserve">Revenue growth: AI-optimised servers, year 4</t>
  </si>
  <si>
    <t xml:space="preserve">Revenue growth: AI-optimised servers, year 5</t>
  </si>
  <si>
    <t xml:space="preserve">Revenue growth: Traditional servers &amp; networking, year 2</t>
  </si>
  <si>
    <t xml:space="preserve">Revenue growth: Traditional servers &amp; networking, year 3</t>
  </si>
  <si>
    <t xml:space="preserve">Revenue growth: Traditional servers &amp; networking, year 4</t>
  </si>
  <si>
    <t xml:space="preserve">Revenue growth: Traditional servers &amp; networking, year 5</t>
  </si>
  <si>
    <t xml:space="preserve">Revenue growth: Storage, year 2</t>
  </si>
  <si>
    <t xml:space="preserve">Revenue growth: Storage, year 3</t>
  </si>
  <si>
    <t xml:space="preserve">Revenue growth: Storage, year 4</t>
  </si>
  <si>
    <t xml:space="preserve">Revenue growth: Storage, year 5</t>
  </si>
  <si>
    <t xml:space="preserve">Revenue growth: CSG commercial, year 2</t>
  </si>
  <si>
    <t xml:space="preserve">Revenue growth: CSG commercial, year 3</t>
  </si>
  <si>
    <t xml:space="preserve">Revenue growth: CSG commercial, year 4</t>
  </si>
  <si>
    <t xml:space="preserve">Revenue growth: CSG commercial, year 5</t>
  </si>
  <si>
    <t xml:space="preserve">Revenue growth: CSG consumer, year 2</t>
  </si>
  <si>
    <t xml:space="preserve">Revenue growth: CSG consumer, year 3</t>
  </si>
  <si>
    <t xml:space="preserve">Revenue growth: CSG consumer, year 4</t>
  </si>
  <si>
    <t xml:space="preserve">Revenue growth: CSG consumer, year 5</t>
  </si>
  <si>
    <t xml:space="preserve">Revenue growth: Other, year 2</t>
  </si>
  <si>
    <t xml:space="preserve">Revenue growth: Other, year 3</t>
  </si>
  <si>
    <t xml:space="preserve">Revenue growth: Other, year 4</t>
  </si>
  <si>
    <t xml:space="preserve">Revenue growth: Other, year 5</t>
  </si>
  <si>
    <t xml:space="preserve">EBIT margin: AI servers, year 1</t>
  </si>
  <si>
    <t xml:space="preserve">calibrated to H1 FY27: ISG 12.9% (Q1 10.5%, Q2 15.0%), CSG 7.8%; AI ~9% / core ~17% split is my estimate</t>
  </si>
  <si>
    <t xml:space="preserve">EBIT margin: AI servers, long run (from year 5)</t>
  </si>
  <si>
    <t xml:space="preserve">long-run margin, analyst judgement (my assumption)</t>
  </si>
  <si>
    <t xml:space="preserve">EBIT margin: Core ISG (traditional + storage), year 1</t>
  </si>
  <si>
    <t xml:space="preserve">EBIT margin: Core ISG (traditional + storage), long run (from year 5)</t>
  </si>
  <si>
    <t xml:space="preserve">EBIT margin: CSG, year 1</t>
  </si>
  <si>
    <t xml:space="preserve">EBIT margin: CSG, long run (from year 5)</t>
  </si>
  <si>
    <t xml:space="preserve">Step 1 · Historic performance</t>
  </si>
  <si>
    <t xml:space="preserve">Reported figures ($m) as pulled; growth and margins are formulas. Earnings quality below.</t>
  </si>
  <si>
    <t xml:space="preserve">Line</t>
  </si>
  <si>
    <t xml:space="preserve">FY24</t>
  </si>
  <si>
    <t xml:space="preserve">FY25</t>
  </si>
  <si>
    <t xml:space="preserve">FY26</t>
  </si>
  <si>
    <t xml:space="preserve">FY27 H1</t>
  </si>
  <si>
    <t xml:space="preserve">Revenue</t>
  </si>
  <si>
    <t xml:space="preserve">Operating income</t>
  </si>
  <si>
    <t xml:space="preserve">Op. income, non-GAAP</t>
  </si>
  <si>
    <t xml:space="preserve">Net income</t>
  </si>
  <si>
    <t xml:space="preserve">Diluted EPS</t>
  </si>
  <si>
    <t xml:space="preserve">Diluted EPS, non-GAAP</t>
  </si>
  <si>
    <t xml:space="preserve">Cash from operations</t>
  </si>
  <si>
    <t xml:space="preserve">Capex &amp; cap. software</t>
  </si>
  <si>
    <t xml:space="preserve">Adjusted FCF (ex DFS receivables)</t>
  </si>
  <si>
    <t xml:space="preserve">Revenue growth</t>
  </si>
  <si>
    <t xml:space="preserve">Operating income ÷ revenue</t>
  </si>
  <si>
    <t xml:space="preserve">Net income ÷ revenue</t>
  </si>
  <si>
    <t xml:space="preserve">Cash from operations ÷ revenue</t>
  </si>
  <si>
    <t xml:space="preserve">Operating cash flow understates cash generation while Dell Financial Services grows: H1 FY27 CFO of $6.3B is after a $6.4B increase in customer financing receivables. The model values DFS separately at net book and keeps its debt out of WACC.</t>
  </si>
  <si>
    <t xml:space="preserve">Earnings quality: are the earnings backed by cash?</t>
  </si>
  <si>
    <t xml:space="preserve">Statement line ($m)</t>
  </si>
  <si>
    <t xml:space="preserve">FY23</t>
  </si>
  <si>
    <t xml:space="preserve">Cost of revenue</t>
  </si>
  <si>
    <t xml:space="preserve">SG&amp;A</t>
  </si>
  <si>
    <t xml:space="preserve">Receivables</t>
  </si>
  <si>
    <t xml:space="preserve">Current assets</t>
  </si>
  <si>
    <t xml:space="preserve">Net PP&amp;E</t>
  </si>
  <si>
    <t xml:space="preserve">Total assets</t>
  </si>
  <si>
    <t xml:space="preserve">Current liabilities</t>
  </si>
  <si>
    <t xml:space="preserve">Long-term debt</t>
  </si>
  <si>
    <t xml:space="preserve">Depreciation &amp; amortisation</t>
  </si>
  <si>
    <t xml:space="preserve">Net income (continuing)</t>
  </si>
  <si>
    <t xml:space="preserve">Operating cash flow</t>
  </si>
  <si>
    <t xml:space="preserve">Yahoo Finance fundamentals (annual), fetched 2026-10-19; checked against the FY26 10-K (current assets 57,602, current liabilities 63,269, total assets 101,286)</t>
  </si>
  <si>
    <t xml:space="preserve">Beneish index (blank = input missing; set to 1 in the score)</t>
  </si>
  <si>
    <t xml:space="preserve">Coefficient</t>
  </si>
  <si>
    <t xml:space="preserve">Manipulators' mean</t>
  </si>
  <si>
    <t xml:space="preserve">DSRI: Days sales in receivables</t>
  </si>
  <si>
    <t xml:space="preserve">GMI: Gross margin, prior ÷ current</t>
  </si>
  <si>
    <t xml:space="preserve">AQI: Asset quality</t>
  </si>
  <si>
    <t xml:space="preserve">SGI: Sales growth</t>
  </si>
  <si>
    <t xml:space="preserve">DEPI: Depreciation rate, prior ÷ current</t>
  </si>
  <si>
    <t xml:space="preserve">SGAI: SG&amp;A ÷ sales</t>
  </si>
  <si>
    <t xml:space="preserve">LVGI: Leverage</t>
  </si>
  <si>
    <t xml:space="preserve">TATA: Accruals ÷ total assets</t>
  </si>
  <si>
    <t xml:space="preserve">M-score = −4.84 + Σ coefficient × index</t>
  </si>
  <si>
    <t xml:space="preserve">Accruals ÷ average total assets (Sloan): (NI − CFO) ÷ avg assets</t>
  </si>
  <si>
    <t xml:space="preserve">Operating cash flow ÷ net income, last 3 years</t>
  </si>
  <si>
    <t xml:space="preserve">Red flags: M &gt; −1.78 · accruals &gt; 10% · cash conversion &lt; 50%</t>
  </si>
  <si>
    <t xml:space="preserve">Amber flags: M &gt; −2.22 · accruals &gt; 5% · cash conversion &lt; 80%</t>
  </si>
  <si>
    <t xml:space="preserve">Grade (A none · B one amber · C one red or two ambers · D two reds)</t>
  </si>
  <si>
    <t xml:space="preserve">Beneish (1999): M above −1.78 marked firms later caught manipulating. A flag is a reason to read the notes, not proof.</t>
  </si>
  <si>
    <t xml:space="preserve">Step 2 · Future cash flows</t>
  </si>
  <si>
    <t xml:space="preserve">Revenue by segment → EBIT → NOPAT → + D&amp;A − capex − ΔNWC = unlevered free cash flow ($m)</t>
  </si>
  <si>
    <t xml:space="preserve">Total</t>
  </si>
  <si>
    <t xml:space="preserve">How it is calculated</t>
  </si>
  <si>
    <t xml:space="preserve">FY27</t>
  </si>
  <si>
    <t xml:space="preserve">FY28</t>
  </si>
  <si>
    <t xml:space="preserve">FY29</t>
  </si>
  <si>
    <t xml:space="preserve">FY30</t>
  </si>
  <si>
    <t xml:space="preserve">FY31</t>
  </si>
  <si>
    <t xml:space="preserve">FY32</t>
  </si>
  <si>
    <t xml:space="preserve">FY33</t>
  </si>
  <si>
    <t xml:space="preserve">FY34</t>
  </si>
  <si>
    <t xml:space="preserve">FY35</t>
  </si>
  <si>
    <t xml:space="preserve">FY36</t>
  </si>
  <si>
    <t xml:space="preserve">Year index i</t>
  </si>
  <si>
    <t xml:space="preserve">Growth: AI-optimised servers</t>
  </si>
  <si>
    <t xml:space="preserve">years 2–5 from Scenarios; then linear fade to terminal g over 5 years</t>
  </si>
  <si>
    <t xml:space="preserve">Revenue: AI-optimised servers</t>
  </si>
  <si>
    <t xml:space="preserve">year 1 from Inputs; then prior × (1 + growth)</t>
  </si>
  <si>
    <t xml:space="preserve">Growth: Traditional servers &amp; networking</t>
  </si>
  <si>
    <t xml:space="preserve">Revenue: Traditional servers &amp; networking</t>
  </si>
  <si>
    <t xml:space="preserve">Growth: Storage</t>
  </si>
  <si>
    <t xml:space="preserve">Revenue: Storage</t>
  </si>
  <si>
    <t xml:space="preserve">Growth: CSG commercial</t>
  </si>
  <si>
    <t xml:space="preserve">Revenue: CSG commercial</t>
  </si>
  <si>
    <t xml:space="preserve">Growth: CSG consumer</t>
  </si>
  <si>
    <t xml:space="preserve">Revenue: CSG consumer</t>
  </si>
  <si>
    <t xml:space="preserve">Growth: Other</t>
  </si>
  <si>
    <t xml:space="preserve">Revenue: Other</t>
  </si>
  <si>
    <t xml:space="preserve">EBIT margin: AI servers</t>
  </si>
  <si>
    <t xml:space="preserve">year 1 → long run in a straight line over 4 years, flat after</t>
  </si>
  <si>
    <t xml:space="preserve">EBIT margin: Core ISG (traditional + storage)</t>
  </si>
  <si>
    <t xml:space="preserve">EBIT margin: CSG</t>
  </si>
  <si>
    <t xml:space="preserve">sum of segments</t>
  </si>
  <si>
    <t xml:space="preserve">revenue ÷ prior − 1 (year 1 vs last reported year)</t>
  </si>
  <si>
    <t xml:space="preserve">Segment operating income</t>
  </si>
  <si>
    <t xml:space="preserve">Σ segment revenue × its margin group</t>
  </si>
  <si>
    <t xml:space="preserve">− Corporate costs (SBC, amortisation, other)</t>
  </si>
  <si>
    <t xml:space="preserve">corporate % × revenue</t>
  </si>
  <si>
    <t xml:space="preserve">EBIT</t>
  </si>
  <si>
    <t xml:space="preserve">segment OI − corporate costs</t>
  </si>
  <si>
    <t xml:space="preserve">EBIT margin</t>
  </si>
  <si>
    <t xml:space="preserve">EBIT ÷ revenue</t>
  </si>
  <si>
    <t xml:space="preserve">Tax rate</t>
  </si>
  <si>
    <t xml:space="preserve">year 1 → long run over 4 years</t>
  </si>
  <si>
    <t xml:space="preserve">NOPAT</t>
  </si>
  <si>
    <t xml:space="preserve">EBIT × (1 − tax)</t>
  </si>
  <si>
    <t xml:space="preserve">+ D&amp;A</t>
  </si>
  <si>
    <t xml:space="preserve">D&amp;A % × revenue</t>
  </si>
  <si>
    <t xml:space="preserve">− Capex</t>
  </si>
  <si>
    <t xml:space="preserve">capex % × revenue</t>
  </si>
  <si>
    <t xml:space="preserve">− Change in working capital</t>
  </si>
  <si>
    <t xml:space="preserve">ΔNWC % × (revenue − prior revenue)</t>
  </si>
  <si>
    <t xml:space="preserve">Unlevered free cash flow (FCFF)</t>
  </si>
  <si>
    <t xml:space="preserve">NOPAT + D&amp;A − capex − ΔNWC</t>
  </si>
  <si>
    <t xml:space="preserve">EBITDA</t>
  </si>
  <si>
    <t xml:space="preserve">EBIT + D&amp;A</t>
  </si>
  <si>
    <t xml:space="preserve">Step 3 · Discount rate</t>
  </si>
  <si>
    <t xml:space="preserve">Cost of equity from CAPM with a beta regressed on daily returns; then debt and WACC.</t>
  </si>
  <si>
    <t xml:space="preserve">Item</t>
  </si>
  <si>
    <t xml:space="preserve">Cost of equity</t>
  </si>
  <si>
    <t xml:space="preserve">1 · Risk-free rate (10-year Treasury)</t>
  </si>
  <si>
    <t xml:space="preserve">2 · Expected market return (Rm)</t>
  </si>
  <si>
    <t xml:space="preserve">3 · Market risk premium = Rm − rf</t>
  </si>
  <si>
    <t xml:space="preserve">Rm − rf</t>
  </si>
  <si>
    <t xml:space="preserve">4a · Daily regression beta = SLOPE(stock returns, index returns)</t>
  </si>
  <si>
    <t xml:space="preserve">OLS slope on the Beta data sheet</t>
  </si>
  <si>
    <t xml:space="preserve">     R² of the regression</t>
  </si>
  <si>
    <t xml:space="preserve">share of the stock's daily moves explained by the market</t>
  </si>
  <si>
    <t xml:space="preserve">     Standard error of beta</t>
  </si>
  <si>
    <t xml:space="preserve">s ÷ √Σ(x − x̄)²</t>
  </si>
  <si>
    <t xml:space="preserve">     Number of daily returns</t>
  </si>
  <si>
    <t xml:space="preserve">     Daily beta carried forward</t>
  </si>
  <si>
    <t xml:space="preserve">4b · Beta used</t>
  </si>
  <si>
    <t xml:space="preserve">source chosen on Inputs; _adj = Blume 0.67 × β + 0.33</t>
  </si>
  <si>
    <t xml:space="preserve">5 · Equity risk premium for this stock = β × MRP</t>
  </si>
  <si>
    <t xml:space="preserve">beta × (Rm − rf)</t>
  </si>
  <si>
    <t xml:space="preserve">6 · Cost of equity Ke = rf + β × MRP + CRP + size</t>
  </si>
  <si>
    <t xml:space="preserve">the discount rate for equity holders</t>
  </si>
  <si>
    <t xml:space="preserve">Cost of debt and WACC</t>
  </si>
  <si>
    <t xml:space="preserve">After-tax cost of debt = Kd × (1 − t)</t>
  </si>
  <si>
    <t xml:space="preserve">Equity at market value, $m</t>
  </si>
  <si>
    <t xml:space="preserve">price × diluted shares</t>
  </si>
  <si>
    <t xml:space="preserve">Debt including leases, $m</t>
  </si>
  <si>
    <t xml:space="preserve">book value</t>
  </si>
  <si>
    <t xml:space="preserve">Weight of equity E ÷ (D + E)</t>
  </si>
  <si>
    <t xml:space="preserve">Weight of debt D ÷ (D + E)</t>
  </si>
  <si>
    <t xml:space="preserve">WACC = wE × Ke + wD × Kd(1 − t)</t>
  </si>
  <si>
    <t xml:space="preserve">the discount rate for the whole firm</t>
  </si>
  <si>
    <t xml:space="preserve">Discount rate used in step 4 (WACC)</t>
  </si>
  <si>
    <t xml:space="preserve">Step 4 · Discount the cash flows</t>
  </si>
  <si>
    <t xml:space="preserve">PV = cash flow × (1 + r)^−t, with r from step 3; then the terminal value.</t>
  </si>
  <si>
    <t xml:space="preserve">FCFF (full year)</t>
  </si>
  <si>
    <t xml:space="preserve">from step 2</t>
  </si>
  <si>
    <t xml:space="preserve">Share of the year counted</t>
  </si>
  <si>
    <t xml:space="preserve">year 1: only the part after the last balance sheet (the rest is in today's cash)</t>
  </si>
  <si>
    <t xml:space="preserve">FCFF counted</t>
  </si>
  <si>
    <t xml:space="preserve">FCFF × share of year</t>
  </si>
  <si>
    <t xml:space="preserve">Years from today (t)</t>
  </si>
  <si>
    <t xml:space="preserve">first fiscal year end + i, less half a year's share if mid-year</t>
  </si>
  <si>
    <t xml:space="preserve">Discount factor</t>
  </si>
  <si>
    <t xml:space="preserve">(1 + r)^−t</t>
  </si>
  <si>
    <t xml:space="preserve">Present value</t>
  </si>
  <si>
    <t xml:space="preserve">counted × discount factor</t>
  </si>
  <si>
    <t xml:space="preserve">Years to the last forecast year end</t>
  </si>
  <si>
    <t xml:space="preserve">Terminal value, value driver = NOPAT × (1 + g) × (1 − g ÷ RONIC) ÷ (WACC − g)</t>
  </si>
  <si>
    <t xml:space="preserve">growth needs reinvestment: g ÷ RONIC of NOPAT is reinvested</t>
  </si>
  <si>
    <t xml:space="preserve">PV of value-driver terminal value</t>
  </si>
  <si>
    <t xml:space="preserve">Terminal value, exit multiple × last EBITDA</t>
  </si>
  <si>
    <t xml:space="preserve">cross-check</t>
  </si>
  <si>
    <t xml:space="preserve">PV of exit terminal value</t>
  </si>
  <si>
    <t xml:space="preserve">PV of the terminal value used</t>
  </si>
  <si>
    <t xml:space="preserve">method on Inputs</t>
  </si>
  <si>
    <t xml:space="preserve">Enterprise value = Σ PV + PV of terminal value</t>
  </si>
  <si>
    <t xml:space="preserve">Terminal value share of EV</t>
  </si>
  <si>
    <t xml:space="preserve">Step 5 · From value to the share price</t>
  </si>
  <si>
    <t xml:space="preserve">Enterprise value − debt + cash (and other claims) = equity value, the estimated market cap; ÷ diluted shares = fair price.</t>
  </si>
  <si>
    <t xml:space="preserve">Enterprise value (step 4)</t>
  </si>
  <si>
    <t xml:space="preserve">− Debt excluding leases</t>
  </si>
  <si>
    <t xml:space="preserve">− Lease liabilities</t>
  </si>
  <si>
    <t xml:space="preserve">+ Cash</t>
  </si>
  <si>
    <t xml:space="preserve">+ Captive-finance net assets (receivables + equipment − its own debt)</t>
  </si>
  <si>
    <t xml:space="preserve">financing arms are added at net book value</t>
  </si>
  <si>
    <t xml:space="preserve">+ Non-operating investments</t>
  </si>
  <si>
    <t xml:space="preserve">− Non-controlling interests</t>
  </si>
  <si>
    <t xml:space="preserve">Equity value (estimated market cap)</t>
  </si>
  <si>
    <t xml:space="preserve">Diluted shares (m) = shares outstanding + dilution</t>
  </si>
  <si>
    <t xml:space="preserve">Fair share price (this scenario)</t>
  </si>
  <si>
    <t xml:space="preserve">equity value ÷ diluted shares</t>
  </si>
  <si>
    <t xml:space="preserve">Share price today</t>
  </si>
  <si>
    <t xml:space="preserve">Upside / (downside)</t>
  </si>
  <si>
    <t xml:space="preserve">Market cap today</t>
  </si>
  <si>
    <t xml:space="preserve">Estimated vs actual market cap</t>
  </si>
  <si>
    <t xml:space="preserve">Step 6 · Verdict</t>
  </si>
  <si>
    <t xml:space="preserve">Methods blended by weight; methods that give no value drop out. The call needs the blend to differ from the price by more than the band.</t>
  </si>
  <si>
    <t xml:space="preserve">Value / share</t>
  </si>
  <si>
    <t xml:space="preserve">Weight</t>
  </si>
  <si>
    <t xml:space="preserve">vs price</t>
  </si>
  <si>
    <t xml:space="preserve">Weight × value</t>
  </si>
  <si>
    <t xml:space="preserve">Weight counted</t>
  </si>
  <si>
    <t xml:space="preserve">How it is computed</t>
  </si>
  <si>
    <t xml:space="preserve">DCF (FCFF), this scenario</t>
  </si>
  <si>
    <t xml:space="preserve">steps 2–5</t>
  </si>
  <si>
    <t xml:space="preserve">Monte Carlo median</t>
  </si>
  <si>
    <t xml:space="preserve">value from the Python engine: 5,000 model runs with random drivers, discount rate and g (not a formula)</t>
  </si>
  <si>
    <t xml:space="preserve">Comps blend</t>
  </si>
  <si>
    <t xml:space="preserve">Comps sheet</t>
  </si>
  <si>
    <t xml:space="preserve">Peer regression</t>
  </si>
  <si>
    <t xml:space="preserve">Blended fair value = Σ weight × value ÷ Σ weight counted</t>
  </si>
  <si>
    <t xml:space="preserve">Upside / (downside) vs price</t>
  </si>
  <si>
    <t xml:space="preserve">Earnings-quality grade (step 1)</t>
  </si>
  <si>
    <t xml:space="preserve">Call before the quality gate</t>
  </si>
  <si>
    <t xml:space="preserve">Call</t>
  </si>
  <si>
    <t xml:space="preserve">Confidence</t>
  </si>
  <si>
    <t xml:space="preserve">Expected 1-year return = (fair ÷ price)^(1 ÷ horizon) − 1 + dividend yield</t>
  </si>
  <si>
    <t xml:space="preserve">Required return (Ke, step 3)</t>
  </si>
  <si>
    <t xml:space="preserve">Expected alpha = expected − required</t>
  </si>
  <si>
    <t xml:space="preserve">Python engine at build (2026-10-16): fair 311.1032, OVERVALUED. Tests recalculate this workbook and require the same numbers.</t>
  </si>
  <si>
    <t xml:space="preserve">Peer multiples from the data feed (blue, editable). Non-positive multiples are left blank, so they drop out of the statistic.</t>
  </si>
  <si>
    <t xml:space="preserve">Peer</t>
  </si>
  <si>
    <t xml:space="preserve">Name</t>
  </si>
  <si>
    <t xml:space="preserve">Forward P/E</t>
  </si>
  <si>
    <t xml:space="preserve">EV/EBITDA</t>
  </si>
  <si>
    <t xml:space="preserve">EV/Sales</t>
  </si>
  <si>
    <t xml:space="preserve">HPE</t>
  </si>
  <si>
    <t xml:space="preserve">Hewlett Packard Enterprise</t>
  </si>
  <si>
    <t xml:space="preserve">HPQ</t>
  </si>
  <si>
    <t xml:space="preserve">HP Inc.</t>
  </si>
  <si>
    <t xml:space="preserve">SMCI</t>
  </si>
  <si>
    <t xml:space="preserve">Super Micro Computer</t>
  </si>
  <si>
    <t xml:space="preserve">NTAP</t>
  </si>
  <si>
    <t xml:space="preserve">NetApp</t>
  </si>
  <si>
    <t xml:space="preserve">P</t>
  </si>
  <si>
    <t xml:space="preserve">Everpure (fka Pure Storage)</t>
  </si>
  <si>
    <t xml:space="preserve">CLS</t>
  </si>
  <si>
    <t xml:space="preserve">Celestica</t>
  </si>
  <si>
    <t xml:space="preserve">LNVGY</t>
  </si>
  <si>
    <t xml:space="preserve">Lenovo Group (ADR)</t>
  </si>
  <si>
    <t xml:space="preserve">Company metrics</t>
  </si>
  <si>
    <t xml:space="preserve">Forward EPS (consensus)</t>
  </si>
  <si>
    <t xml:space="preserve">EBITDA, trailing 12 months ($m)</t>
  </si>
  <si>
    <t xml:space="preserve">Revenue, trailing 12 months ($m)</t>
  </si>
  <si>
    <t xml:space="preserve">Net debt on the vendor's basis: all debt + leases − cash ($m)</t>
  </si>
  <si>
    <t xml:space="preserve">Multiple</t>
  </si>
  <si>
    <t xml:space="preserve">Peer median</t>
  </si>
  <si>
    <t xml:space="preserve">Company today</t>
  </si>
  <si>
    <t xml:space="preserve">Implied price</t>
  </si>
  <si>
    <t xml:space="preserve">Weight × price</t>
  </si>
  <si>
    <t xml:space="preserve">Blended comps value = Σ weight × price ÷ Σ weight of the multiples that worked</t>
  </si>
  <si>
    <t xml:space="preserve">Peer regression: forward P/E on 3-year EPS growth</t>
  </si>
  <si>
    <t xml:space="preserve">x: EPS growth</t>
  </si>
  <si>
    <t xml:space="preserve">y: Fwd P/E</t>
  </si>
  <si>
    <t xml:space="preserve">CSCO</t>
  </si>
  <si>
    <t xml:space="preserve">ANET</t>
  </si>
  <si>
    <t xml:space="preserve">Slope b = SLOPE(y, x)</t>
  </si>
  <si>
    <t xml:space="preserve">Intercept a = INTERCEPT(y, x)</t>
  </si>
  <si>
    <t xml:space="preserve">R²</t>
  </si>
  <si>
    <t xml:space="preserve">Peers in the fit</t>
  </si>
  <si>
    <t xml:space="preserve">Company EPS growth used: model EPS CAGR year 1 → 4 for this scenario, from the engine (value)</t>
  </si>
  <si>
    <t xml:space="preserve">Fitted multiple = a + b × company growth</t>
  </si>
  <si>
    <t xml:space="preserve">Regression value per share (blank if R² is below the minimum on Inputs)</t>
  </si>
  <si>
    <t xml:space="preserve">Beta data</t>
  </si>
  <si>
    <t xml:space="preserve">Daily adjusted closes for DELL and the S&amp;P 500; returns are formulas. Paste a longer or different window to change the beta.</t>
  </si>
  <si>
    <t xml:space="preserve">2024-10-17 to 2026-10-15</t>
  </si>
  <si>
    <t xml:space="preserve">Date</t>
  </si>
  <si>
    <t xml:space="preserve">DELL</t>
  </si>
  <si>
    <t xml:space="preserve">S&amp;P 500</t>
  </si>
  <si>
    <t xml:space="preserve">Stock return</t>
  </si>
  <si>
    <t xml:space="preserve">Index return</t>
  </si>
  <si>
    <t xml:space="preserve">2024-10-16</t>
  </si>
  <si>
    <t xml:space="preserve">2024-10-17</t>
  </si>
  <si>
    <t xml:space="preserve">2024-10-18</t>
  </si>
  <si>
    <t xml:space="preserve">2024-10-21</t>
  </si>
  <si>
    <t xml:space="preserve">2024-10-22</t>
  </si>
  <si>
    <t xml:space="preserve">2024-10-23</t>
  </si>
  <si>
    <t xml:space="preserve">2024-10-24</t>
  </si>
  <si>
    <t xml:space="preserve">2024-10-25</t>
  </si>
  <si>
    <t xml:space="preserve">2024-10-28</t>
  </si>
  <si>
    <t xml:space="preserve">2024-10-29</t>
  </si>
  <si>
    <t xml:space="preserve">2024-10-30</t>
  </si>
  <si>
    <t xml:space="preserve">2024-10-31</t>
  </si>
  <si>
    <t xml:space="preserve">2024-11-01</t>
  </si>
  <si>
    <t xml:space="preserve">2024-11-04</t>
  </si>
  <si>
    <t xml:space="preserve">2024-11-05</t>
  </si>
  <si>
    <t xml:space="preserve">2024-11-06</t>
  </si>
  <si>
    <t xml:space="preserve">2024-11-07</t>
  </si>
  <si>
    <t xml:space="preserve">2024-11-08</t>
  </si>
  <si>
    <t xml:space="preserve">2024-11-11</t>
  </si>
  <si>
    <t xml:space="preserve">2024-11-12</t>
  </si>
  <si>
    <t xml:space="preserve">2024-11-13</t>
  </si>
  <si>
    <t xml:space="preserve">2024-11-14</t>
  </si>
  <si>
    <t xml:space="preserve">2024-11-15</t>
  </si>
  <si>
    <t xml:space="preserve">2024-11-18</t>
  </si>
  <si>
    <t xml:space="preserve">2024-11-19</t>
  </si>
  <si>
    <t xml:space="preserve">2024-11-20</t>
  </si>
  <si>
    <t xml:space="preserve">2024-11-21</t>
  </si>
  <si>
    <t xml:space="preserve">2024-11-22</t>
  </si>
  <si>
    <t xml:space="preserve">2024-11-25</t>
  </si>
  <si>
    <t xml:space="preserve">2024-11-26</t>
  </si>
  <si>
    <t xml:space="preserve">2024-11-27</t>
  </si>
  <si>
    <t xml:space="preserve">2024-11-29</t>
  </si>
  <si>
    <t xml:space="preserve">2024-12-02</t>
  </si>
  <si>
    <t xml:space="preserve">2024-12-03</t>
  </si>
  <si>
    <t xml:space="preserve">2024-12-04</t>
  </si>
  <si>
    <t xml:space="preserve">2024-12-05</t>
  </si>
  <si>
    <t xml:space="preserve">2024-12-06</t>
  </si>
  <si>
    <t xml:space="preserve">2024-12-09</t>
  </si>
  <si>
    <t xml:space="preserve">2024-12-10</t>
  </si>
  <si>
    <t xml:space="preserve">2024-12-11</t>
  </si>
  <si>
    <t xml:space="preserve">2024-12-12</t>
  </si>
  <si>
    <t xml:space="preserve">2024-12-13</t>
  </si>
  <si>
    <t xml:space="preserve">2024-12-16</t>
  </si>
  <si>
    <t xml:space="preserve">2024-12-17</t>
  </si>
  <si>
    <t xml:space="preserve">2024-12-18</t>
  </si>
  <si>
    <t xml:space="preserve">2024-12-19</t>
  </si>
  <si>
    <t xml:space="preserve">2024-12-20</t>
  </si>
  <si>
    <t xml:space="preserve">2024-12-23</t>
  </si>
  <si>
    <t xml:space="preserve">2024-12-24</t>
  </si>
  <si>
    <t xml:space="preserve">2024-12-26</t>
  </si>
  <si>
    <t xml:space="preserve">2024-12-27</t>
  </si>
  <si>
    <t xml:space="preserve">2024-12-30</t>
  </si>
  <si>
    <t xml:space="preserve">2024-12-31</t>
  </si>
  <si>
    <t xml:space="preserve">2025-01-02</t>
  </si>
  <si>
    <t xml:space="preserve">2025-01-03</t>
  </si>
  <si>
    <t xml:space="preserve">2025-01-06</t>
  </si>
  <si>
    <t xml:space="preserve">2025-01-07</t>
  </si>
  <si>
    <t xml:space="preserve">2025-01-08</t>
  </si>
  <si>
    <t xml:space="preserve">2025-01-10</t>
  </si>
  <si>
    <t xml:space="preserve">2025-01-13</t>
  </si>
  <si>
    <t xml:space="preserve">2025-01-14</t>
  </si>
  <si>
    <t xml:space="preserve">2025-01-15</t>
  </si>
  <si>
    <t xml:space="preserve">2025-01-16</t>
  </si>
  <si>
    <t xml:space="preserve">2025-01-17</t>
  </si>
  <si>
    <t xml:space="preserve">2025-01-21</t>
  </si>
  <si>
    <t xml:space="preserve">2025-01-22</t>
  </si>
  <si>
    <t xml:space="preserve">2025-01-23</t>
  </si>
  <si>
    <t xml:space="preserve">2025-01-24</t>
  </si>
  <si>
    <t xml:space="preserve">2025-01-27</t>
  </si>
  <si>
    <t xml:space="preserve">2025-01-28</t>
  </si>
  <si>
    <t xml:space="preserve">2025-01-29</t>
  </si>
  <si>
    <t xml:space="preserve">2025-01-30</t>
  </si>
  <si>
    <t xml:space="preserve">2025-01-31</t>
  </si>
  <si>
    <t xml:space="preserve">2025-02-03</t>
  </si>
  <si>
    <t xml:space="preserve">2025-02-04</t>
  </si>
  <si>
    <t xml:space="preserve">2025-02-05</t>
  </si>
  <si>
    <t xml:space="preserve">2025-02-06</t>
  </si>
  <si>
    <t xml:space="preserve">2025-02-07</t>
  </si>
  <si>
    <t xml:space="preserve">2025-02-10</t>
  </si>
  <si>
    <t xml:space="preserve">2025-02-11</t>
  </si>
  <si>
    <t xml:space="preserve">2025-02-12</t>
  </si>
  <si>
    <t xml:space="preserve">2025-02-13</t>
  </si>
  <si>
    <t xml:space="preserve">2025-02-14</t>
  </si>
  <si>
    <t xml:space="preserve">2025-02-18</t>
  </si>
  <si>
    <t xml:space="preserve">2025-02-19</t>
  </si>
  <si>
    <t xml:space="preserve">2025-02-20</t>
  </si>
  <si>
    <t xml:space="preserve">2025-02-21</t>
  </si>
  <si>
    <t xml:space="preserve">2025-02-24</t>
  </si>
  <si>
    <t xml:space="preserve">2025-02-25</t>
  </si>
  <si>
    <t xml:space="preserve">2025-02-26</t>
  </si>
  <si>
    <t xml:space="preserve">2025-02-27</t>
  </si>
  <si>
    <t xml:space="preserve">2025-02-28</t>
  </si>
  <si>
    <t xml:space="preserve">2025-03-03</t>
  </si>
  <si>
    <t xml:space="preserve">2025-03-04</t>
  </si>
  <si>
    <t xml:space="preserve">2025-03-05</t>
  </si>
  <si>
    <t xml:space="preserve">2025-03-06</t>
  </si>
  <si>
    <t xml:space="preserve">2025-03-07</t>
  </si>
  <si>
    <t xml:space="preserve">2025-03-10</t>
  </si>
  <si>
    <t xml:space="preserve">2025-03-11</t>
  </si>
  <si>
    <t xml:space="preserve">2025-03-12</t>
  </si>
  <si>
    <t xml:space="preserve">2025-03-13</t>
  </si>
  <si>
    <t xml:space="preserve">2025-03-14</t>
  </si>
  <si>
    <t xml:space="preserve">2025-03-17</t>
  </si>
  <si>
    <t xml:space="preserve">2025-03-18</t>
  </si>
  <si>
    <t xml:space="preserve">2025-03-19</t>
  </si>
  <si>
    <t xml:space="preserve">2025-03-20</t>
  </si>
  <si>
    <t xml:space="preserve">2025-03-21</t>
  </si>
  <si>
    <t xml:space="preserve">2025-03-24</t>
  </si>
  <si>
    <t xml:space="preserve">2025-03-25</t>
  </si>
  <si>
    <t xml:space="preserve">2025-03-26</t>
  </si>
  <si>
    <t xml:space="preserve">2025-03-27</t>
  </si>
  <si>
    <t xml:space="preserve">2025-03-28</t>
  </si>
  <si>
    <t xml:space="preserve">2025-03-31</t>
  </si>
  <si>
    <t xml:space="preserve">2025-04-01</t>
  </si>
  <si>
    <t xml:space="preserve">2025-04-02</t>
  </si>
  <si>
    <t xml:space="preserve">2025-04-03</t>
  </si>
  <si>
    <t xml:space="preserve">2025-04-04</t>
  </si>
  <si>
    <t xml:space="preserve">2025-04-07</t>
  </si>
  <si>
    <t xml:space="preserve">2025-04-08</t>
  </si>
  <si>
    <t xml:space="preserve">2025-04-09</t>
  </si>
  <si>
    <t xml:space="preserve">2025-04-10</t>
  </si>
  <si>
    <t xml:space="preserve">2025-04-11</t>
  </si>
  <si>
    <t xml:space="preserve">2025-04-14</t>
  </si>
  <si>
    <t xml:space="preserve">2025-04-15</t>
  </si>
  <si>
    <t xml:space="preserve">2025-04-16</t>
  </si>
  <si>
    <t xml:space="preserve">2025-04-17</t>
  </si>
  <si>
    <t xml:space="preserve">2025-04-21</t>
  </si>
  <si>
    <t xml:space="preserve">2025-04-22</t>
  </si>
  <si>
    <t xml:space="preserve">2025-04-23</t>
  </si>
  <si>
    <t xml:space="preserve">2025-04-24</t>
  </si>
  <si>
    <t xml:space="preserve">2025-04-25</t>
  </si>
  <si>
    <t xml:space="preserve">2025-04-28</t>
  </si>
  <si>
    <t xml:space="preserve">2025-04-29</t>
  </si>
  <si>
    <t xml:space="preserve">2025-04-30</t>
  </si>
  <si>
    <t xml:space="preserve">2025-05-01</t>
  </si>
  <si>
    <t xml:space="preserve">2025-05-02</t>
  </si>
  <si>
    <t xml:space="preserve">2025-05-05</t>
  </si>
  <si>
    <t xml:space="preserve">2025-05-06</t>
  </si>
  <si>
    <t xml:space="preserve">2025-05-07</t>
  </si>
  <si>
    <t xml:space="preserve">2025-05-08</t>
  </si>
  <si>
    <t xml:space="preserve">2025-05-09</t>
  </si>
  <si>
    <t xml:space="preserve">2025-05-12</t>
  </si>
  <si>
    <t xml:space="preserve">2025-05-13</t>
  </si>
  <si>
    <t xml:space="preserve">2025-05-14</t>
  </si>
  <si>
    <t xml:space="preserve">2025-05-15</t>
  </si>
  <si>
    <t xml:space="preserve">2025-05-16</t>
  </si>
  <si>
    <t xml:space="preserve">2025-05-19</t>
  </si>
  <si>
    <t xml:space="preserve">2025-05-20</t>
  </si>
  <si>
    <t xml:space="preserve">2025-05-21</t>
  </si>
  <si>
    <t xml:space="preserve">2025-05-22</t>
  </si>
  <si>
    <t xml:space="preserve">2025-05-23</t>
  </si>
  <si>
    <t xml:space="preserve">2025-05-27</t>
  </si>
  <si>
    <t xml:space="preserve">2025-05-28</t>
  </si>
  <si>
    <t xml:space="preserve">2025-05-29</t>
  </si>
  <si>
    <t xml:space="preserve">2025-05-30</t>
  </si>
  <si>
    <t xml:space="preserve">2025-06-02</t>
  </si>
  <si>
    <t xml:space="preserve">2025-06-03</t>
  </si>
  <si>
    <t xml:space="preserve">2025-06-04</t>
  </si>
  <si>
    <t xml:space="preserve">2025-06-05</t>
  </si>
  <si>
    <t xml:space="preserve">2025-06-06</t>
  </si>
  <si>
    <t xml:space="preserve">2025-06-09</t>
  </si>
  <si>
    <t xml:space="preserve">2025-06-10</t>
  </si>
  <si>
    <t xml:space="preserve">2025-06-11</t>
  </si>
  <si>
    <t xml:space="preserve">2025-06-12</t>
  </si>
  <si>
    <t xml:space="preserve">2025-06-13</t>
  </si>
  <si>
    <t xml:space="preserve">2025-06-16</t>
  </si>
  <si>
    <t xml:space="preserve">2025-06-17</t>
  </si>
  <si>
    <t xml:space="preserve">2025-06-18</t>
  </si>
  <si>
    <t xml:space="preserve">2025-06-20</t>
  </si>
  <si>
    <t xml:space="preserve">2025-06-23</t>
  </si>
  <si>
    <t xml:space="preserve">2025-06-24</t>
  </si>
  <si>
    <t xml:space="preserve">2025-06-25</t>
  </si>
  <si>
    <t xml:space="preserve">2025-06-26</t>
  </si>
  <si>
    <t xml:space="preserve">2025-06-27</t>
  </si>
  <si>
    <t xml:space="preserve">2025-06-30</t>
  </si>
  <si>
    <t xml:space="preserve">2025-07-01</t>
  </si>
  <si>
    <t xml:space="preserve">2025-07-02</t>
  </si>
  <si>
    <t xml:space="preserve">2025-07-03</t>
  </si>
  <si>
    <t xml:space="preserve">2025-07-07</t>
  </si>
  <si>
    <t xml:space="preserve">2025-07-08</t>
  </si>
  <si>
    <t xml:space="preserve">2025-07-09</t>
  </si>
  <si>
    <t xml:space="preserve">2025-07-10</t>
  </si>
  <si>
    <t xml:space="preserve">2025-07-11</t>
  </si>
  <si>
    <t xml:space="preserve">2025-07-14</t>
  </si>
  <si>
    <t xml:space="preserve">2025-07-15</t>
  </si>
  <si>
    <t xml:space="preserve">2025-07-16</t>
  </si>
  <si>
    <t xml:space="preserve">2025-07-17</t>
  </si>
  <si>
    <t xml:space="preserve">2025-07-18</t>
  </si>
  <si>
    <t xml:space="preserve">2025-07-21</t>
  </si>
  <si>
    <t xml:space="preserve">2025-07-22</t>
  </si>
  <si>
    <t xml:space="preserve">2025-07-23</t>
  </si>
  <si>
    <t xml:space="preserve">2025-07-24</t>
  </si>
  <si>
    <t xml:space="preserve">2025-07-25</t>
  </si>
  <si>
    <t xml:space="preserve">2025-07-28</t>
  </si>
  <si>
    <t xml:space="preserve">2025-07-29</t>
  </si>
  <si>
    <t xml:space="preserve">2025-07-30</t>
  </si>
  <si>
    <t xml:space="preserve">2025-07-31</t>
  </si>
  <si>
    <t xml:space="preserve">2025-08-01</t>
  </si>
  <si>
    <t xml:space="preserve">2025-08-04</t>
  </si>
  <si>
    <t xml:space="preserve">2025-08-05</t>
  </si>
  <si>
    <t xml:space="preserve">2025-08-06</t>
  </si>
  <si>
    <t xml:space="preserve">2025-08-07</t>
  </si>
  <si>
    <t xml:space="preserve">2025-08-08</t>
  </si>
  <si>
    <t xml:space="preserve">2025-08-11</t>
  </si>
  <si>
    <t xml:space="preserve">2025-08-12</t>
  </si>
  <si>
    <t xml:space="preserve">2025-08-13</t>
  </si>
  <si>
    <t xml:space="preserve">2025-08-14</t>
  </si>
  <si>
    <t xml:space="preserve">2025-08-15</t>
  </si>
  <si>
    <t xml:space="preserve">2025-08-18</t>
  </si>
  <si>
    <t xml:space="preserve">2025-08-19</t>
  </si>
  <si>
    <t xml:space="preserve">2025-08-20</t>
  </si>
  <si>
    <t xml:space="preserve">2025-08-21</t>
  </si>
  <si>
    <t xml:space="preserve">2025-08-22</t>
  </si>
  <si>
    <t xml:space="preserve">2025-08-25</t>
  </si>
  <si>
    <t xml:space="preserve">2025-08-26</t>
  </si>
  <si>
    <t xml:space="preserve">2025-08-27</t>
  </si>
  <si>
    <t xml:space="preserve">2025-08-28</t>
  </si>
  <si>
    <t xml:space="preserve">2025-08-29</t>
  </si>
  <si>
    <t xml:space="preserve">2025-09-02</t>
  </si>
  <si>
    <t xml:space="preserve">2025-09-03</t>
  </si>
  <si>
    <t xml:space="preserve">2025-09-04</t>
  </si>
  <si>
    <t xml:space="preserve">2025-09-05</t>
  </si>
  <si>
    <t xml:space="preserve">2025-09-08</t>
  </si>
  <si>
    <t xml:space="preserve">2025-09-09</t>
  </si>
  <si>
    <t xml:space="preserve">2025-09-10</t>
  </si>
  <si>
    <t xml:space="preserve">2025-09-11</t>
  </si>
  <si>
    <t xml:space="preserve">2025-09-12</t>
  </si>
  <si>
    <t xml:space="preserve">2025-09-15</t>
  </si>
  <si>
    <t xml:space="preserve">2025-09-16</t>
  </si>
  <si>
    <t xml:space="preserve">2025-09-17</t>
  </si>
  <si>
    <t xml:space="preserve">2025-09-18</t>
  </si>
  <si>
    <t xml:space="preserve">2025-09-19</t>
  </si>
  <si>
    <t xml:space="preserve">2025-09-22</t>
  </si>
  <si>
    <t xml:space="preserve">2025-09-23</t>
  </si>
  <si>
    <t xml:space="preserve">2025-09-24</t>
  </si>
  <si>
    <t xml:space="preserve">2025-09-25</t>
  </si>
  <si>
    <t xml:space="preserve">2025-09-26</t>
  </si>
  <si>
    <t xml:space="preserve">2025-09-29</t>
  </si>
  <si>
    <t xml:space="preserve">2025-09-30</t>
  </si>
  <si>
    <t xml:space="preserve">2025-10-01</t>
  </si>
  <si>
    <t xml:space="preserve">2025-10-02</t>
  </si>
  <si>
    <t xml:space="preserve">2025-10-03</t>
  </si>
  <si>
    <t xml:space="preserve">2025-10-06</t>
  </si>
  <si>
    <t xml:space="preserve">2025-10-07</t>
  </si>
  <si>
    <t xml:space="preserve">2025-10-08</t>
  </si>
  <si>
    <t xml:space="preserve">2025-10-09</t>
  </si>
  <si>
    <t xml:space="preserve">2025-10-10</t>
  </si>
  <si>
    <t xml:space="preserve">2025-10-13</t>
  </si>
  <si>
    <t xml:space="preserve">2025-10-14</t>
  </si>
  <si>
    <t xml:space="preserve">2025-10-15</t>
  </si>
  <si>
    <t xml:space="preserve">2025-10-16</t>
  </si>
  <si>
    <t xml:space="preserve">2025-10-17</t>
  </si>
  <si>
    <t xml:space="preserve">2025-10-20</t>
  </si>
  <si>
    <t xml:space="preserve">2025-10-21</t>
  </si>
  <si>
    <t xml:space="preserve">2025-10-22</t>
  </si>
  <si>
    <t xml:space="preserve">2025-10-23</t>
  </si>
  <si>
    <t xml:space="preserve">2025-10-24</t>
  </si>
  <si>
    <t xml:space="preserve">2025-10-27</t>
  </si>
  <si>
    <t xml:space="preserve">2025-10-28</t>
  </si>
  <si>
    <t xml:space="preserve">2025-10-29</t>
  </si>
  <si>
    <t xml:space="preserve">2025-10-30</t>
  </si>
  <si>
    <t xml:space="preserve">2025-10-31</t>
  </si>
  <si>
    <t xml:space="preserve">2025-11-03</t>
  </si>
  <si>
    <t xml:space="preserve">2025-11-04</t>
  </si>
  <si>
    <t xml:space="preserve">2025-11-05</t>
  </si>
  <si>
    <t xml:space="preserve">2025-11-06</t>
  </si>
  <si>
    <t xml:space="preserve">2025-11-07</t>
  </si>
  <si>
    <t xml:space="preserve">2025-11-10</t>
  </si>
  <si>
    <t xml:space="preserve">2025-11-11</t>
  </si>
  <si>
    <t xml:space="preserve">2025-11-12</t>
  </si>
  <si>
    <t xml:space="preserve">2025-11-13</t>
  </si>
  <si>
    <t xml:space="preserve">2025-11-14</t>
  </si>
  <si>
    <t xml:space="preserve">2025-11-17</t>
  </si>
  <si>
    <t xml:space="preserve">2025-11-18</t>
  </si>
  <si>
    <t xml:space="preserve">2025-11-19</t>
  </si>
  <si>
    <t xml:space="preserve">2025-11-20</t>
  </si>
  <si>
    <t xml:space="preserve">2025-11-21</t>
  </si>
  <si>
    <t xml:space="preserve">2025-11-24</t>
  </si>
  <si>
    <t xml:space="preserve">2025-11-25</t>
  </si>
  <si>
    <t xml:space="preserve">2025-11-26</t>
  </si>
  <si>
    <t xml:space="preserve">2025-11-28</t>
  </si>
  <si>
    <t xml:space="preserve">2025-12-01</t>
  </si>
  <si>
    <t xml:space="preserve">2025-12-02</t>
  </si>
  <si>
    <t xml:space="preserve">2025-12-03</t>
  </si>
  <si>
    <t xml:space="preserve">2025-12-04</t>
  </si>
  <si>
    <t xml:space="preserve">2025-12-05</t>
  </si>
  <si>
    <t xml:space="preserve">2025-12-08</t>
  </si>
  <si>
    <t xml:space="preserve">2025-12-09</t>
  </si>
  <si>
    <t xml:space="preserve">2025-12-10</t>
  </si>
  <si>
    <t xml:space="preserve">2025-12-11</t>
  </si>
  <si>
    <t xml:space="preserve">2025-12-12</t>
  </si>
  <si>
    <t xml:space="preserve">2025-12-15</t>
  </si>
  <si>
    <t xml:space="preserve">2025-12-16</t>
  </si>
  <si>
    <t xml:space="preserve">2025-12-17</t>
  </si>
  <si>
    <t xml:space="preserve">2025-12-18</t>
  </si>
  <si>
    <t xml:space="preserve">2025-12-19</t>
  </si>
  <si>
    <t xml:space="preserve">2025-12-22</t>
  </si>
  <si>
    <t xml:space="preserve">2025-12-23</t>
  </si>
  <si>
    <t xml:space="preserve">2025-12-24</t>
  </si>
  <si>
    <t xml:space="preserve">2025-12-26</t>
  </si>
  <si>
    <t xml:space="preserve">2025-12-29</t>
  </si>
  <si>
    <t xml:space="preserve">2025-12-30</t>
  </si>
  <si>
    <t xml:space="preserve">2025-12-31</t>
  </si>
  <si>
    <t xml:space="preserve">2026-01-02</t>
  </si>
  <si>
    <t xml:space="preserve">2026-01-05</t>
  </si>
  <si>
    <t xml:space="preserve">2026-01-06</t>
  </si>
  <si>
    <t xml:space="preserve">2026-01-07</t>
  </si>
  <si>
    <t xml:space="preserve">2026-01-08</t>
  </si>
  <si>
    <t xml:space="preserve">2026-01-09</t>
  </si>
  <si>
    <t xml:space="preserve">2026-01-12</t>
  </si>
  <si>
    <t xml:space="preserve">2026-01-13</t>
  </si>
  <si>
    <t xml:space="preserve">2026-01-14</t>
  </si>
  <si>
    <t xml:space="preserve">2026-01-15</t>
  </si>
  <si>
    <t xml:space="preserve">2026-01-16</t>
  </si>
  <si>
    <t xml:space="preserve">2026-01-20</t>
  </si>
  <si>
    <t xml:space="preserve">2026-01-21</t>
  </si>
  <si>
    <t xml:space="preserve">2026-01-22</t>
  </si>
  <si>
    <t xml:space="preserve">2026-01-23</t>
  </si>
  <si>
    <t xml:space="preserve">2026-01-26</t>
  </si>
  <si>
    <t xml:space="preserve">2026-01-27</t>
  </si>
  <si>
    <t xml:space="preserve">2026-01-28</t>
  </si>
  <si>
    <t xml:space="preserve">2026-01-29</t>
  </si>
  <si>
    <t xml:space="preserve">2026-01-30</t>
  </si>
  <si>
    <t xml:space="preserve">2026-02-02</t>
  </si>
  <si>
    <t xml:space="preserve">2026-02-03</t>
  </si>
  <si>
    <t xml:space="preserve">2026-02-04</t>
  </si>
  <si>
    <t xml:space="preserve">2026-02-05</t>
  </si>
  <si>
    <t xml:space="preserve">2026-02-06</t>
  </si>
  <si>
    <t xml:space="preserve">2026-02-09</t>
  </si>
  <si>
    <t xml:space="preserve">2026-02-10</t>
  </si>
  <si>
    <t xml:space="preserve">2026-02-11</t>
  </si>
  <si>
    <t xml:space="preserve">2026-02-12</t>
  </si>
  <si>
    <t xml:space="preserve">2026-02-13</t>
  </si>
  <si>
    <t xml:space="preserve">2026-02-17</t>
  </si>
  <si>
    <t xml:space="preserve">2026-02-18</t>
  </si>
  <si>
    <t xml:space="preserve">2026-02-19</t>
  </si>
  <si>
    <t xml:space="preserve">2026-02-20</t>
  </si>
  <si>
    <t xml:space="preserve">2026-02-23</t>
  </si>
  <si>
    <t xml:space="preserve">2026-02-24</t>
  </si>
  <si>
    <t xml:space="preserve">2026-02-25</t>
  </si>
  <si>
    <t xml:space="preserve">2026-02-26</t>
  </si>
  <si>
    <t xml:space="preserve">2026-02-27</t>
  </si>
  <si>
    <t xml:space="preserve">2026-03-02</t>
  </si>
  <si>
    <t xml:space="preserve">2026-03-03</t>
  </si>
  <si>
    <t xml:space="preserve">2026-03-04</t>
  </si>
  <si>
    <t xml:space="preserve">2026-03-05</t>
  </si>
  <si>
    <t xml:space="preserve">2026-03-06</t>
  </si>
  <si>
    <t xml:space="preserve">2026-03-09</t>
  </si>
  <si>
    <t xml:space="preserve">2026-03-10</t>
  </si>
  <si>
    <t xml:space="preserve">2026-03-11</t>
  </si>
  <si>
    <t xml:space="preserve">2026-03-12</t>
  </si>
  <si>
    <t xml:space="preserve">2026-03-13</t>
  </si>
  <si>
    <t xml:space="preserve">2026-03-16</t>
  </si>
  <si>
    <t xml:space="preserve">2026-03-17</t>
  </si>
  <si>
    <t xml:space="preserve">2026-03-18</t>
  </si>
  <si>
    <t xml:space="preserve">2026-03-19</t>
  </si>
  <si>
    <t xml:space="preserve">2026-03-20</t>
  </si>
  <si>
    <t xml:space="preserve">2026-03-23</t>
  </si>
  <si>
    <t xml:space="preserve">2026-03-24</t>
  </si>
  <si>
    <t xml:space="preserve">2026-03-25</t>
  </si>
  <si>
    <t xml:space="preserve">2026-03-26</t>
  </si>
  <si>
    <t xml:space="preserve">2026-03-27</t>
  </si>
  <si>
    <t xml:space="preserve">2026-03-30</t>
  </si>
  <si>
    <t xml:space="preserve">2026-03-31</t>
  </si>
  <si>
    <t xml:space="preserve">2026-04-01</t>
  </si>
  <si>
    <t xml:space="preserve">2026-04-02</t>
  </si>
  <si>
    <t xml:space="preserve">2026-04-06</t>
  </si>
  <si>
    <t xml:space="preserve">2026-04-07</t>
  </si>
  <si>
    <t xml:space="preserve">2026-04-08</t>
  </si>
  <si>
    <t xml:space="preserve">2026-04-09</t>
  </si>
  <si>
    <t xml:space="preserve">2026-04-10</t>
  </si>
  <si>
    <t xml:space="preserve">2026-04-13</t>
  </si>
  <si>
    <t xml:space="preserve">2026-04-14</t>
  </si>
  <si>
    <t xml:space="preserve">2026-04-15</t>
  </si>
  <si>
    <t xml:space="preserve">2026-04-16</t>
  </si>
  <si>
    <t xml:space="preserve">2026-04-17</t>
  </si>
  <si>
    <t xml:space="preserve">2026-04-20</t>
  </si>
  <si>
    <t xml:space="preserve">2026-04-21</t>
  </si>
  <si>
    <t xml:space="preserve">2026-04-22</t>
  </si>
  <si>
    <t xml:space="preserve">2026-04-23</t>
  </si>
  <si>
    <t xml:space="preserve">2026-04-24</t>
  </si>
  <si>
    <t xml:space="preserve">2026-04-27</t>
  </si>
  <si>
    <t xml:space="preserve">2026-04-28</t>
  </si>
  <si>
    <t xml:space="preserve">2026-04-29</t>
  </si>
  <si>
    <t xml:space="preserve">2026-04-30</t>
  </si>
  <si>
    <t xml:space="preserve">2026-05-01</t>
  </si>
  <si>
    <t xml:space="preserve">2026-05-04</t>
  </si>
  <si>
    <t xml:space="preserve">2026-05-05</t>
  </si>
  <si>
    <t xml:space="preserve">2026-05-06</t>
  </si>
  <si>
    <t xml:space="preserve">2026-05-07</t>
  </si>
  <si>
    <t xml:space="preserve">2026-05-08</t>
  </si>
  <si>
    <t xml:space="preserve">2026-05-11</t>
  </si>
  <si>
    <t xml:space="preserve">2026-05-12</t>
  </si>
  <si>
    <t xml:space="preserve">2026-05-13</t>
  </si>
  <si>
    <t xml:space="preserve">2026-05-14</t>
  </si>
  <si>
    <t xml:space="preserve">2026-05-15</t>
  </si>
  <si>
    <t xml:space="preserve">2026-05-18</t>
  </si>
  <si>
    <t xml:space="preserve">2026-05-19</t>
  </si>
  <si>
    <t xml:space="preserve">2026-05-20</t>
  </si>
  <si>
    <t xml:space="preserve">2026-05-21</t>
  </si>
  <si>
    <t xml:space="preserve">2026-05-22</t>
  </si>
  <si>
    <t xml:space="preserve">2026-05-26</t>
  </si>
  <si>
    <t xml:space="preserve">2026-05-27</t>
  </si>
  <si>
    <t xml:space="preserve">2026-05-28</t>
  </si>
  <si>
    <t xml:space="preserve">2026-05-29</t>
  </si>
  <si>
    <t xml:space="preserve">2026-06-01</t>
  </si>
  <si>
    <t xml:space="preserve">2026-06-02</t>
  </si>
  <si>
    <t xml:space="preserve">2026-06-03</t>
  </si>
  <si>
    <t xml:space="preserve">2026-06-04</t>
  </si>
  <si>
    <t xml:space="preserve">2026-06-05</t>
  </si>
  <si>
    <t xml:space="preserve">2026-06-08</t>
  </si>
  <si>
    <t xml:space="preserve">2026-06-09</t>
  </si>
  <si>
    <t xml:space="preserve">2026-06-10</t>
  </si>
  <si>
    <t xml:space="preserve">2026-06-11</t>
  </si>
  <si>
    <t xml:space="preserve">2026-06-12</t>
  </si>
  <si>
    <t xml:space="preserve">2026-06-15</t>
  </si>
  <si>
    <t xml:space="preserve">2026-06-16</t>
  </si>
  <si>
    <t xml:space="preserve">2026-06-17</t>
  </si>
  <si>
    <t xml:space="preserve">2026-06-18</t>
  </si>
  <si>
    <t xml:space="preserve">2026-06-22</t>
  </si>
  <si>
    <t xml:space="preserve">2026-06-23</t>
  </si>
  <si>
    <t xml:space="preserve">2026-06-24</t>
  </si>
  <si>
    <t xml:space="preserve">2026-06-25</t>
  </si>
  <si>
    <t xml:space="preserve">2026-06-26</t>
  </si>
  <si>
    <t xml:space="preserve">2026-06-29</t>
  </si>
  <si>
    <t xml:space="preserve">2026-06-30</t>
  </si>
  <si>
    <t xml:space="preserve">2026-07-01</t>
  </si>
  <si>
    <t xml:space="preserve">2026-07-02</t>
  </si>
  <si>
    <t xml:space="preserve">2026-07-06</t>
  </si>
  <si>
    <t xml:space="preserve">2026-07-07</t>
  </si>
  <si>
    <t xml:space="preserve">2026-07-08</t>
  </si>
  <si>
    <t xml:space="preserve">2026-07-09</t>
  </si>
  <si>
    <t xml:space="preserve">2026-07-10</t>
  </si>
  <si>
    <t xml:space="preserve">2026-07-13</t>
  </si>
  <si>
    <t xml:space="preserve">2026-07-14</t>
  </si>
  <si>
    <t xml:space="preserve">2026-07-15</t>
  </si>
  <si>
    <t xml:space="preserve">2026-07-16</t>
  </si>
  <si>
    <t xml:space="preserve">2026-07-17</t>
  </si>
  <si>
    <t xml:space="preserve">2026-07-20</t>
  </si>
  <si>
    <t xml:space="preserve">2026-07-21</t>
  </si>
  <si>
    <t xml:space="preserve">2026-07-22</t>
  </si>
  <si>
    <t xml:space="preserve">2026-07-23</t>
  </si>
  <si>
    <t xml:space="preserve">2026-07-24</t>
  </si>
  <si>
    <t xml:space="preserve">2026-07-27</t>
  </si>
  <si>
    <t xml:space="preserve">2026-07-28</t>
  </si>
  <si>
    <t xml:space="preserve">2026-07-29</t>
  </si>
  <si>
    <t xml:space="preserve">2026-07-30</t>
  </si>
  <si>
    <t xml:space="preserve">2026-07-31</t>
  </si>
  <si>
    <t xml:space="preserve">2026-08-03</t>
  </si>
  <si>
    <t xml:space="preserve">2026-08-04</t>
  </si>
  <si>
    <t xml:space="preserve">2026-08-05</t>
  </si>
  <si>
    <t xml:space="preserve">2026-08-06</t>
  </si>
  <si>
    <t xml:space="preserve">2026-08-07</t>
  </si>
  <si>
    <t xml:space="preserve">2026-08-10</t>
  </si>
  <si>
    <t xml:space="preserve">2026-08-11</t>
  </si>
  <si>
    <t xml:space="preserve">2026-08-12</t>
  </si>
  <si>
    <t xml:space="preserve">2026-08-13</t>
  </si>
  <si>
    <t xml:space="preserve">2026-08-14</t>
  </si>
  <si>
    <t xml:space="preserve">2026-08-17</t>
  </si>
  <si>
    <t xml:space="preserve">2026-08-18</t>
  </si>
  <si>
    <t xml:space="preserve">2026-08-19</t>
  </si>
  <si>
    <t xml:space="preserve">2026-08-20</t>
  </si>
  <si>
    <t xml:space="preserve">2026-08-21</t>
  </si>
  <si>
    <t xml:space="preserve">2026-08-24</t>
  </si>
  <si>
    <t xml:space="preserve">2026-08-25</t>
  </si>
  <si>
    <t xml:space="preserve">2026-08-26</t>
  </si>
  <si>
    <t xml:space="preserve">2026-08-27</t>
  </si>
  <si>
    <t xml:space="preserve">2026-08-28</t>
  </si>
  <si>
    <t xml:space="preserve">2026-08-31</t>
  </si>
  <si>
    <t xml:space="preserve">2026-09-01</t>
  </si>
  <si>
    <t xml:space="preserve">2026-09-02</t>
  </si>
  <si>
    <t xml:space="preserve">2026-09-03</t>
  </si>
  <si>
    <t xml:space="preserve">2026-09-04</t>
  </si>
  <si>
    <t xml:space="preserve">2026-09-08</t>
  </si>
  <si>
    <t xml:space="preserve">2026-09-09</t>
  </si>
  <si>
    <t xml:space="preserve">2026-09-10</t>
  </si>
  <si>
    <t xml:space="preserve">2026-09-11</t>
  </si>
  <si>
    <t xml:space="preserve">2026-09-14</t>
  </si>
  <si>
    <t xml:space="preserve">2026-09-15</t>
  </si>
  <si>
    <t xml:space="preserve">2026-09-16</t>
  </si>
  <si>
    <t xml:space="preserve">2026-09-17</t>
  </si>
  <si>
    <t xml:space="preserve">2026-09-18</t>
  </si>
  <si>
    <t xml:space="preserve">2026-09-21</t>
  </si>
  <si>
    <t xml:space="preserve">2026-09-22</t>
  </si>
  <si>
    <t xml:space="preserve">2026-09-23</t>
  </si>
  <si>
    <t xml:space="preserve">2026-09-24</t>
  </si>
  <si>
    <t xml:space="preserve">2026-09-25</t>
  </si>
  <si>
    <t xml:space="preserve">2026-09-28</t>
  </si>
  <si>
    <t xml:space="preserve">2026-09-29</t>
  </si>
  <si>
    <t xml:space="preserve">2026-09-30</t>
  </si>
  <si>
    <t xml:space="preserve">2026-10-01</t>
  </si>
  <si>
    <t xml:space="preserve">2026-10-02</t>
  </si>
  <si>
    <t xml:space="preserve">2026-10-05</t>
  </si>
  <si>
    <t xml:space="preserve">2026-10-06</t>
  </si>
  <si>
    <t xml:space="preserve">2026-10-07</t>
  </si>
  <si>
    <t xml:space="preserve">2026-10-08</t>
  </si>
  <si>
    <t xml:space="preserve">2026-10-09</t>
  </si>
  <si>
    <t xml:space="preserve">2026-10-12</t>
  </si>
  <si>
    <t xml:space="preserve">2026-10-13</t>
  </si>
  <si>
    <t xml:space="preserve">2026-10-14</t>
  </si>
</sst>
</file>

<file path=xl/styles.xml><?xml version="1.0" encoding="utf-8"?>
<styleSheet xmlns="http://schemas.openxmlformats.org/spreadsheetml/2006/main">
  <numFmts count="16">
    <numFmt numFmtId="164" formatCode="General"/>
    <numFmt numFmtId="165" formatCode="General"/>
    <numFmt numFmtId="166" formatCode="\$#,##0.00"/>
    <numFmt numFmtId="167" formatCode="\+0.0%;\-0.0%;0.0%"/>
    <numFmt numFmtId="168" formatCode="0.00%"/>
    <numFmt numFmtId="169" formatCode="#,##0;\(#,##0\);\-"/>
    <numFmt numFmtId="170" formatCode="\$#,##0"/>
    <numFmt numFmtId="171" formatCode="#,##0.00"/>
    <numFmt numFmtId="172" formatCode="0.000"/>
    <numFmt numFmtId="173" formatCode="0.0%"/>
    <numFmt numFmtId="174" formatCode="0.00"/>
    <numFmt numFmtId="175" formatCode="0%"/>
    <numFmt numFmtId="176" formatCode="0"/>
    <numFmt numFmtId="177" formatCode="0.0000"/>
    <numFmt numFmtId="178" formatCode="0.0\x"/>
    <numFmt numFmtId="179" formatCode="0.00\x"/>
  </numFmts>
  <fonts count="2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C9D3E0"/>
      <name val="Arial"/>
      <family val="0"/>
      <charset val="1"/>
    </font>
    <font>
      <sz val="8"/>
      <color rgb="FF6B7280"/>
      <name val="Arial"/>
      <family val="0"/>
      <charset val="1"/>
    </font>
    <font>
      <b val="true"/>
      <sz val="9"/>
      <color rgb="FF6B7280"/>
      <name val="Arial"/>
      <family val="0"/>
      <charset val="1"/>
    </font>
    <font>
      <sz val="8"/>
      <color rgb="FFFFFFFF"/>
      <name val="Arial"/>
      <family val="0"/>
      <charset val="1"/>
    </font>
    <font>
      <b val="true"/>
      <sz val="14"/>
      <color rgb="FF1B2A41"/>
      <name val="Arial"/>
      <family val="0"/>
      <charset val="1"/>
    </font>
    <font>
      <i val="true"/>
      <sz val="9"/>
      <color rgb="FF6B7280"/>
      <name val="Arial"/>
      <family val="0"/>
      <charset val="1"/>
    </font>
    <font>
      <b val="true"/>
      <sz val="8"/>
      <color rgb="FF6B7280"/>
      <name val="Arial"/>
      <family val="0"/>
      <charset val="1"/>
    </font>
    <font>
      <b val="true"/>
      <sz val="18"/>
      <color rgb="FF1B2A41"/>
      <name val="Arial"/>
      <family val="0"/>
      <charset val="1"/>
    </font>
    <font>
      <b val="true"/>
      <u val="single"/>
      <sz val="11"/>
      <color rgb="FF2E6DB4"/>
      <name val="Arial"/>
      <family val="0"/>
      <charset val="1"/>
    </font>
    <font>
      <sz val="11"/>
      <color rgb="FF1F2937"/>
      <name val="Arial"/>
      <family val="0"/>
      <charset val="1"/>
    </font>
    <font>
      <sz val="11"/>
      <color rgb="FF0000FF"/>
      <name val="Arial"/>
      <family val="0"/>
      <charset val="1"/>
    </font>
    <font>
      <sz val="11"/>
      <name val="Arial"/>
      <family val="0"/>
      <charset val="1"/>
    </font>
    <font>
      <sz val="9"/>
      <color rgb="FF1F2937"/>
      <name val="Arial"/>
      <family val="0"/>
      <charset val="1"/>
    </font>
    <font>
      <sz val="9"/>
      <color rgb="FF6B7280"/>
      <name val="Arial"/>
      <family val="0"/>
      <charset val="1"/>
    </font>
    <font>
      <b val="true"/>
      <sz val="18"/>
      <color rgb="FF000000"/>
      <name val="Calibri"/>
      <family val="2"/>
    </font>
    <font>
      <sz val="10"/>
      <color rgb="FF000000"/>
      <name val="Calibri"/>
      <family val="2"/>
    </font>
    <font>
      <b val="true"/>
      <sz val="14"/>
      <color rgb="FFFFFFFF"/>
      <name val="Arial"/>
      <family val="0"/>
      <charset val="1"/>
    </font>
    <font>
      <b val="true"/>
      <sz val="9"/>
      <color rgb="FFFFFFFF"/>
      <name val="Arial"/>
      <family val="0"/>
      <charset val="1"/>
    </font>
    <font>
      <b val="true"/>
      <sz val="11"/>
      <name val="Arial"/>
      <family val="0"/>
      <charset val="1"/>
    </font>
    <font>
      <b val="true"/>
      <sz val="10"/>
      <color rgb="FFFFD166"/>
      <name val="Arial"/>
      <family val="0"/>
      <charset val="1"/>
    </font>
    <font>
      <b val="true"/>
      <sz val="11"/>
      <color rgb="FF1B2A41"/>
      <name val="Arial"/>
      <family val="0"/>
      <charset val="1"/>
    </font>
    <font>
      <i val="true"/>
      <sz val="9"/>
      <color rgb="FF666666"/>
      <name val="Arial"/>
      <family val="0"/>
      <charset val="1"/>
    </font>
    <font>
      <b val="true"/>
      <sz val="13"/>
      <name val="Arial"/>
      <family val="0"/>
      <charset val="1"/>
    </font>
    <font>
      <sz val="11"/>
      <color rgb="FF008000"/>
      <name val="Arial"/>
      <family val="0"/>
      <charset val="1"/>
    </font>
  </fonts>
  <fills count="7">
    <fill>
      <patternFill patternType="none"/>
    </fill>
    <fill>
      <patternFill patternType="gray125"/>
    </fill>
    <fill>
      <patternFill patternType="solid">
        <fgColor rgb="FF1B2A41"/>
        <bgColor rgb="FF1F2937"/>
      </patternFill>
    </fill>
    <fill>
      <patternFill patternType="solid">
        <fgColor rgb="FFFFF4B8"/>
        <bgColor rgb="FFF9F9F9"/>
      </patternFill>
    </fill>
    <fill>
      <patternFill patternType="solid">
        <fgColor rgb="FFF3F5F8"/>
        <bgColor rgb="FFF9F9F9"/>
      </patternFill>
    </fill>
    <fill>
      <patternFill patternType="solid">
        <fgColor rgb="FFE7F0FA"/>
        <bgColor rgb="FFE9EDF2"/>
      </patternFill>
    </fill>
    <fill>
      <patternFill patternType="solid">
        <fgColor rgb="FFE9EDF2"/>
        <bgColor rgb="FFE7F0FA"/>
      </patternFill>
    </fill>
  </fills>
  <borders count="3">
    <border diagonalUp="false" diagonalDown="false">
      <left/>
      <right/>
      <top/>
      <bottom/>
      <diagonal/>
    </border>
    <border diagonalUp="false" diagonalDown="false">
      <left/>
      <right/>
      <top/>
      <bottom style="thin">
        <color rgb="FFD9DEE5"/>
      </bottom>
      <diagonal/>
    </border>
    <border diagonalUp="false" diagonalDown="false">
      <left/>
      <right/>
      <top style="thin">
        <color rgb="FF2E6DB4"/>
      </top>
      <bottom style="thin">
        <color rgb="FF2E6D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6" fontId="12" fillId="4" borderId="0" xfId="0" applyFont="true" applyBorder="true" applyAlignment="true" applyProtection="false">
      <alignment horizontal="center" vertical="center" textRotation="0" wrapText="false" indent="0" shrinkToFit="false"/>
      <protection locked="true" hidden="false"/>
    </xf>
    <xf numFmtId="167" fontId="12" fillId="4"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8" fontId="12" fillId="4"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10" fillId="6" borderId="0" xfId="0" applyFont="true" applyBorder="false" applyAlignment="true" applyProtection="false">
      <alignment horizontal="general" vertical="top" textRotation="0" wrapText="false" indent="0" shrinkToFit="false"/>
      <protection locked="true" hidden="false"/>
    </xf>
    <xf numFmtId="164" fontId="0" fillId="6" borderId="0" xfId="0" applyFont="false" applyBorder="false" applyAlignment="true" applyProtection="false">
      <alignment horizontal="general" vertical="top"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2" fillId="2" borderId="0" xfId="0" applyFont="true" applyBorder="false" applyAlignment="true" applyProtection="false">
      <alignment horizontal="left" vertical="center" textRotation="0" wrapText="true" indent="0" shrinkToFit="false"/>
      <protection locked="true" hidden="false"/>
    </xf>
    <xf numFmtId="164" fontId="22"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71" fontId="15" fillId="0" borderId="1" xfId="0" applyFont="true" applyBorder="true" applyAlignment="true" applyProtection="false">
      <alignment horizontal="general" vertical="top" textRotation="0" wrapText="false" indent="0" shrinkToFit="false"/>
      <protection locked="true" hidden="false"/>
    </xf>
    <xf numFmtId="171" fontId="15" fillId="3" borderId="1" xfId="0" applyFont="true" applyBorder="true" applyAlignment="true" applyProtection="false">
      <alignment horizontal="general" vertical="top" textRotation="0" wrapText="false" indent="0" shrinkToFit="false"/>
      <protection locked="true" hidden="false"/>
    </xf>
    <xf numFmtId="171" fontId="16" fillId="0" borderId="1" xfId="0" applyFont="true" applyBorder="true" applyAlignment="true" applyProtection="false">
      <alignment horizontal="general" vertical="top" textRotation="0" wrapText="false" indent="0" shrinkToFit="false"/>
      <protection locked="true" hidden="false"/>
    </xf>
    <xf numFmtId="169" fontId="15" fillId="0" borderId="1" xfId="0" applyFont="true" applyBorder="true" applyAlignment="true" applyProtection="false">
      <alignment horizontal="general" vertical="top" textRotation="0" wrapText="false" indent="0" shrinkToFit="false"/>
      <protection locked="true" hidden="false"/>
    </xf>
    <xf numFmtId="169" fontId="15" fillId="3" borderId="1" xfId="0" applyFont="true" applyBorder="true" applyAlignment="true" applyProtection="false">
      <alignment horizontal="general" vertical="top" textRotation="0" wrapText="false" indent="0" shrinkToFit="false"/>
      <protection locked="true" hidden="false"/>
    </xf>
    <xf numFmtId="169" fontId="16" fillId="0" borderId="1" xfId="0" applyFont="true" applyBorder="true" applyAlignment="true" applyProtection="false">
      <alignment horizontal="general" vertical="top" textRotation="0" wrapText="false" indent="0" shrinkToFit="false"/>
      <protection locked="true" hidden="false"/>
    </xf>
    <xf numFmtId="168" fontId="15" fillId="0" borderId="1" xfId="0" applyFont="true" applyBorder="true" applyAlignment="true" applyProtection="false">
      <alignment horizontal="general" vertical="top" textRotation="0" wrapText="false" indent="0" shrinkToFit="false"/>
      <protection locked="true" hidden="false"/>
    </xf>
    <xf numFmtId="168" fontId="15" fillId="3" borderId="1" xfId="0" applyFont="true" applyBorder="true" applyAlignment="true" applyProtection="false">
      <alignment horizontal="general" vertical="top" textRotation="0" wrapText="false" indent="0" shrinkToFit="false"/>
      <protection locked="true" hidden="false"/>
    </xf>
    <xf numFmtId="168" fontId="16" fillId="0" borderId="1" xfId="0" applyFont="true" applyBorder="true" applyAlignment="true" applyProtection="false">
      <alignment horizontal="general" vertical="top" textRotation="0" wrapText="false" indent="0" shrinkToFit="false"/>
      <protection locked="true" hidden="false"/>
    </xf>
    <xf numFmtId="172" fontId="15" fillId="0" borderId="1" xfId="0" applyFont="true" applyBorder="true" applyAlignment="true" applyProtection="false">
      <alignment horizontal="general" vertical="top" textRotation="0" wrapText="false" indent="0" shrinkToFit="false"/>
      <protection locked="true" hidden="false"/>
    </xf>
    <xf numFmtId="172" fontId="15" fillId="3" borderId="1" xfId="0" applyFont="true" applyBorder="true" applyAlignment="true" applyProtection="false">
      <alignment horizontal="general" vertical="top" textRotation="0" wrapText="false" indent="0" shrinkToFit="false"/>
      <protection locked="true" hidden="false"/>
    </xf>
    <xf numFmtId="172" fontId="16" fillId="0" borderId="1" xfId="0" applyFont="true" applyBorder="true" applyAlignment="true" applyProtection="false">
      <alignment horizontal="general" vertical="top" textRotation="0" wrapText="false" indent="0" shrinkToFit="false"/>
      <protection locked="true" hidden="false"/>
    </xf>
    <xf numFmtId="164" fontId="24" fillId="2" borderId="0" xfId="0" applyFont="true" applyBorder="false" applyAlignment="true" applyProtection="false">
      <alignment horizontal="general" vertical="top" textRotation="0" wrapText="false" indent="0" shrinkToFit="false"/>
      <protection locked="true" hidden="false"/>
    </xf>
    <xf numFmtId="173" fontId="15" fillId="0" borderId="1" xfId="0" applyFont="true" applyBorder="true" applyAlignment="true" applyProtection="false">
      <alignment horizontal="general" vertical="top" textRotation="0" wrapText="false" indent="0" shrinkToFit="false"/>
      <protection locked="true" hidden="false"/>
    </xf>
    <xf numFmtId="173" fontId="25" fillId="5" borderId="2" xfId="0" applyFont="true" applyBorder="true" applyAlignment="true" applyProtection="false">
      <alignment horizontal="general" vertical="top" textRotation="0" wrapText="false" indent="0" shrinkToFit="false"/>
      <protection locked="true" hidden="false"/>
    </xf>
    <xf numFmtId="164" fontId="26" fillId="0" borderId="1" xfId="0" applyFont="true" applyBorder="true" applyAlignment="true" applyProtection="false">
      <alignment horizontal="general" vertical="top" textRotation="0" wrapText="false" indent="0" shrinkToFit="false"/>
      <protection locked="true" hidden="false"/>
    </xf>
    <xf numFmtId="173" fontId="16" fillId="0" borderId="1" xfId="0" applyFont="true" applyBorder="true" applyAlignment="true" applyProtection="false">
      <alignment horizontal="general" vertical="top" textRotation="0" wrapText="false" indent="0" shrinkToFit="false"/>
      <protection locked="true" hidden="false"/>
    </xf>
    <xf numFmtId="164" fontId="27"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false" indent="0" shrinkToFit="false"/>
      <protection locked="true" hidden="false"/>
    </xf>
    <xf numFmtId="174" fontId="23" fillId="0" borderId="1" xfId="0" applyFont="true" applyBorder="true" applyAlignment="true" applyProtection="false">
      <alignment horizontal="general" vertical="top" textRotation="0" wrapText="false" indent="0" shrinkToFit="false"/>
      <protection locked="true" hidden="false"/>
    </xf>
    <xf numFmtId="175" fontId="16" fillId="0" borderId="1" xfId="0" applyFont="true" applyBorder="true" applyAlignment="true" applyProtection="false">
      <alignment horizontal="general" vertical="top" textRotation="0" wrapText="false" indent="0" shrinkToFit="false"/>
      <protection locked="true" hidden="false"/>
    </xf>
    <xf numFmtId="176" fontId="16" fillId="0" borderId="1" xfId="0" applyFont="true" applyBorder="true" applyAlignment="true" applyProtection="false">
      <alignment horizontal="general" vertical="top" textRotation="0" wrapText="false" indent="0" shrinkToFit="false"/>
      <protection locked="true" hidden="false"/>
    </xf>
    <xf numFmtId="164" fontId="25" fillId="5" borderId="2" xfId="0" applyFont="true" applyBorder="true" applyAlignment="true" applyProtection="false">
      <alignment horizontal="general" vertical="top" textRotation="0" wrapText="false" indent="0" shrinkToFit="false"/>
      <protection locked="true" hidden="false"/>
    </xf>
    <xf numFmtId="169" fontId="23" fillId="0" borderId="1" xfId="0" applyFont="true" applyBorder="true" applyAlignment="true" applyProtection="false">
      <alignment horizontal="general" vertical="top" textRotation="0" wrapText="false" indent="0" shrinkToFit="false"/>
      <protection locked="true" hidden="false"/>
    </xf>
    <xf numFmtId="172" fontId="25" fillId="5" borderId="2" xfId="0" applyFont="true" applyBorder="true" applyAlignment="true" applyProtection="false">
      <alignment horizontal="general" vertical="top" textRotation="0" wrapText="false" indent="0" shrinkToFit="false"/>
      <protection locked="true" hidden="false"/>
    </xf>
    <xf numFmtId="168" fontId="25" fillId="5" borderId="2" xfId="0" applyFont="true" applyBorder="true" applyAlignment="true" applyProtection="false">
      <alignment horizontal="general" vertical="top" textRotation="0" wrapText="false" indent="0" shrinkToFit="false"/>
      <protection locked="true" hidden="false"/>
    </xf>
    <xf numFmtId="169" fontId="28" fillId="0" borderId="1" xfId="0" applyFont="true" applyBorder="true" applyAlignment="true" applyProtection="false">
      <alignment horizontal="general" vertical="top" textRotation="0" wrapText="false" indent="0" shrinkToFit="false"/>
      <protection locked="true" hidden="false"/>
    </xf>
    <xf numFmtId="177" fontId="16" fillId="0" borderId="1" xfId="0" applyFont="true" applyBorder="true" applyAlignment="true" applyProtection="false">
      <alignment horizontal="general" vertical="top" textRotation="0" wrapText="false" indent="0" shrinkToFit="false"/>
      <protection locked="true" hidden="false"/>
    </xf>
    <xf numFmtId="174" fontId="16" fillId="0" borderId="1" xfId="0" applyFont="true" applyBorder="true" applyAlignment="true" applyProtection="false">
      <alignment horizontal="general" vertical="top" textRotation="0" wrapText="false" indent="0" shrinkToFit="false"/>
      <protection locked="true" hidden="false"/>
    </xf>
    <xf numFmtId="169" fontId="25" fillId="5" borderId="2" xfId="0" applyFont="true" applyBorder="true" applyAlignment="true" applyProtection="false">
      <alignment horizontal="general" vertical="top" textRotation="0" wrapText="false" indent="0" shrinkToFit="false"/>
      <protection locked="true" hidden="false"/>
    </xf>
    <xf numFmtId="166" fontId="25" fillId="5" borderId="2" xfId="0" applyFont="true" applyBorder="true" applyAlignment="true" applyProtection="false">
      <alignment horizontal="general" vertical="top" textRotation="0" wrapText="false" indent="0" shrinkToFit="false"/>
      <protection locked="true" hidden="false"/>
    </xf>
    <xf numFmtId="166" fontId="16" fillId="0" borderId="1" xfId="0" applyFont="true" applyBorder="true" applyAlignment="true" applyProtection="false">
      <alignment horizontal="general" vertical="top" textRotation="0" wrapText="false" indent="0" shrinkToFit="false"/>
      <protection locked="true" hidden="false"/>
    </xf>
    <xf numFmtId="166" fontId="28" fillId="0" borderId="1" xfId="0" applyFont="true" applyBorder="true" applyAlignment="true" applyProtection="false">
      <alignment horizontal="general" vertical="top" textRotation="0" wrapText="false" indent="0" shrinkToFit="false"/>
      <protection locked="true" hidden="false"/>
    </xf>
    <xf numFmtId="175" fontId="15" fillId="0" borderId="1" xfId="0" applyFont="true" applyBorder="true" applyAlignment="true" applyProtection="false">
      <alignment horizontal="general" vertical="top" textRotation="0" wrapText="false" indent="0" shrinkToFit="false"/>
      <protection locked="true" hidden="false"/>
    </xf>
    <xf numFmtId="166" fontId="15" fillId="0" borderId="1" xfId="0" applyFont="true" applyBorder="true" applyAlignment="true" applyProtection="false">
      <alignment horizontal="general" vertical="top" textRotation="0" wrapText="false" indent="0" shrinkToFit="false"/>
      <protection locked="true" hidden="false"/>
    </xf>
    <xf numFmtId="178" fontId="15" fillId="0" borderId="1" xfId="0" applyFont="true" applyBorder="true" applyAlignment="true" applyProtection="false">
      <alignment horizontal="general" vertical="top" textRotation="0" wrapText="false" indent="0" shrinkToFit="false"/>
      <protection locked="true" hidden="false"/>
    </xf>
    <xf numFmtId="178" fontId="16" fillId="0" borderId="1" xfId="0" applyFont="true" applyBorder="true" applyAlignment="true" applyProtection="false">
      <alignment horizontal="general" vertical="top" textRotation="0" wrapText="false" indent="0" shrinkToFit="false"/>
      <protection locked="true" hidden="false"/>
    </xf>
    <xf numFmtId="179" fontId="15" fillId="0" borderId="1" xfId="0" applyFont="true" applyBorder="true" applyAlignment="true" applyProtection="false">
      <alignment horizontal="general" vertical="top" textRotation="0" wrapText="false" indent="0" shrinkToFit="false"/>
      <protection locked="true" hidden="false"/>
    </xf>
    <xf numFmtId="164" fontId="26" fillId="6" borderId="0" xfId="0" applyFont="true" applyBorder="false" applyAlignment="true" applyProtection="false">
      <alignment horizontal="general" vertical="top" textRotation="0" wrapText="false" indent="0" shrinkToFit="false"/>
      <protection locked="true" hidden="false"/>
    </xf>
    <xf numFmtId="177" fontId="15" fillId="0" borderId="1" xfId="0" applyFont="true" applyBorder="true" applyAlignment="true" applyProtection="false">
      <alignment horizontal="general" vertical="top" textRotation="0" wrapText="false" indent="0" shrinkToFit="false"/>
      <protection locked="true" hidden="false"/>
    </xf>
    <xf numFmtId="174" fontId="15"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1E7B4A"/>
        <sz val="18"/>
      </font>
    </dxf>
    <dxf>
      <font>
        <name val="Arial"/>
        <charset val="1"/>
        <family val="0"/>
        <b val="1"/>
        <color rgb="FFB42318"/>
        <sz val="18"/>
      </font>
    </dxf>
    <dxf>
      <font>
        <name val="Arial"/>
        <charset val="1"/>
        <family val="0"/>
        <b val="1"/>
        <color rgb="FFFFFFFF"/>
        <sz val="15"/>
      </font>
      <fill>
        <patternFill>
          <bgColor rgb="FF1E7B4A"/>
        </patternFill>
      </fill>
    </dxf>
    <dxf>
      <font>
        <name val="Arial"/>
        <charset val="1"/>
        <family val="0"/>
        <b val="1"/>
        <color rgb="FFFFFFFF"/>
        <sz val="15"/>
      </font>
      <fill>
        <patternFill>
          <bgColor rgb="FFB42318"/>
        </patternFill>
      </fill>
    </dxf>
    <dxf>
      <font>
        <name val="Arial"/>
        <charset val="1"/>
        <family val="0"/>
        <b val="1"/>
        <color rgb="FFFFFFFF"/>
        <sz val="15"/>
      </font>
      <fill>
        <patternFill>
          <bgColor rgb="FFB7791F"/>
        </patternFill>
      </fill>
    </dxf>
    <dxf>
      <font>
        <name val="Arial"/>
        <charset val="1"/>
        <family val="0"/>
        <b val="1"/>
        <color rgb="FFFFFFFF"/>
        <sz val="15"/>
      </font>
      <fill>
        <patternFill>
          <bgColor rgb="FF6B7280"/>
        </patternFill>
      </fill>
    </dxf>
    <dxf>
      <font>
        <name val="Arial"/>
        <charset val="1"/>
        <family val="0"/>
        <b val="1"/>
        <color rgb="FF5B9A5B"/>
        <sz val="18"/>
      </font>
    </dxf>
    <dxf>
      <font>
        <name val="Arial"/>
        <charset val="1"/>
        <family val="0"/>
        <b val="1"/>
        <color rgb="FFB7791F"/>
        <sz val="18"/>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1E7B4A"/>
      <rgbColor rgb="FFD9D9D9"/>
      <rgbColor rgb="FF878787"/>
      <rgbColor rgb="FF9999FF"/>
      <rgbColor rgb="FF666666"/>
      <rgbColor rgb="FFFFF4B8"/>
      <rgbColor rgb="FFE7F0FA"/>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9EDF2"/>
      <rgbColor rgb="FFF3F5F8"/>
      <rgbColor rgb="FFF9F9F9"/>
      <rgbColor rgb="FFA8C5E6"/>
      <rgbColor rgb="FFFF99CC"/>
      <rgbColor rgb="FFD9DEE5"/>
      <rgbColor rgb="FFFFD166"/>
      <rgbColor rgb="FF2E6DB4"/>
      <rgbColor rgb="FF33CCCC"/>
      <rgbColor rgb="FF99CC00"/>
      <rgbColor rgb="FFFFCC00"/>
      <rgbColor rgb="FFFF9900"/>
      <rgbColor rgb="FFFF6600"/>
      <rgbColor rgb="FF6B7280"/>
      <rgbColor rgb="FF4F81BD"/>
      <rgbColor rgb="FF1B2A41"/>
      <rgbColor rgb="FF5B9A5B"/>
      <rgbColor rgb="FF003300"/>
      <rgbColor rgb="FF333300"/>
      <rgbColor rgb="FFB42318"/>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Value per share vs price</a:t>
            </a:r>
          </a:p>
        </c:rich>
      </c:tx>
      <c:overlay val="0"/>
      <c:spPr>
        <a:noFill/>
        <a:ln w="0">
          <a:noFill/>
        </a:ln>
      </c:spPr>
    </c:title>
    <c:autoTitleDeleted val="0"/>
    <c:plotArea>
      <c:barChart>
        <c:barDir val="col"/>
        <c:grouping val="clustered"/>
        <c:varyColors val="0"/>
        <c:ser>
          <c:idx val="0"/>
          <c:order val="0"/>
          <c:tx>
            <c:strRef>
              <c:f>Dashboard!U4</c:f>
              <c:strCache>
                <c:ptCount val="1"/>
                <c:pt idx="0">
                  <c:v>Value</c:v>
                </c:pt>
              </c:strCache>
            </c:strRef>
          </c:tx>
          <c:spPr>
            <a:solidFill>
              <a:srgbClr val="2e6db4"/>
            </a:solidFill>
            <a:ln w="936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Dashboard!$T$5:$T$9</c:f>
              <c:strCache>
                <c:ptCount val="5"/>
                <c:pt idx="0">
                  <c:v>DCF</c:v>
                </c:pt>
                <c:pt idx="1">
                  <c:v>Monte Carlo</c:v>
                </c:pt>
                <c:pt idx="2">
                  <c:v>Comps</c:v>
                </c:pt>
                <c:pt idx="3">
                  <c:v>Regression</c:v>
                </c:pt>
                <c:pt idx="4">
                  <c:v>Blended</c:v>
                </c:pt>
              </c:strCache>
            </c:strRef>
          </c:cat>
          <c:val>
            <c:numRef>
              <c:f>Dashboard!$U$5:$U$9</c:f>
              <c:numCache>
                <c:formatCode>\$#,##0.00</c:formatCode>
                <c:ptCount val="5"/>
                <c:pt idx="0">
                  <c:v>284.730152288726</c:v>
                </c:pt>
                <c:pt idx="1">
                  <c:v>276.394447319484</c:v>
                </c:pt>
                <c:pt idx="2">
                  <c:v>369.4063118651</c:v>
                </c:pt>
                <c:pt idx="3">
                  <c:v>0</c:v>
                </c:pt>
                <c:pt idx="4">
                  <c:v>311.10315993213</c:v>
                </c:pt>
              </c:numCache>
            </c:numRef>
          </c:val>
        </c:ser>
        <c:gapWidth val="150"/>
        <c:overlap val="0"/>
        <c:axId val="51675701"/>
        <c:axId val="90370920"/>
      </c:barChart>
      <c:lineChart>
        <c:grouping val="standard"/>
        <c:varyColors val="0"/>
        <c:ser>
          <c:idx val="1"/>
          <c:order val="1"/>
          <c:tx>
            <c:strRef>
              <c:f>Dashboard!V4</c:f>
              <c:strCache>
                <c:ptCount val="1"/>
                <c:pt idx="0">
                  <c:v>Price</c:v>
                </c:pt>
              </c:strCache>
            </c:strRef>
          </c:tx>
          <c:spPr>
            <a:solidFill>
              <a:srgbClr val="b42318"/>
            </a:solidFill>
            <a:ln w="47520">
              <a:solidFill>
                <a:srgbClr val="b42318"/>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Dashboard!$T$5:$T$9</c:f>
              <c:strCache>
                <c:ptCount val="5"/>
                <c:pt idx="0">
                  <c:v>DCF</c:v>
                </c:pt>
                <c:pt idx="1">
                  <c:v>Monte Carlo</c:v>
                </c:pt>
                <c:pt idx="2">
                  <c:v>Comps</c:v>
                </c:pt>
                <c:pt idx="3">
                  <c:v>Regression</c:v>
                </c:pt>
                <c:pt idx="4">
                  <c:v>Blended</c:v>
                </c:pt>
              </c:strCache>
            </c:strRef>
          </c:cat>
          <c:val>
            <c:numRef>
              <c:f>Dashboard!$V$5:$V$9</c:f>
              <c:numCache>
                <c:formatCode>\$#,##0.00</c:formatCode>
                <c:ptCount val="5"/>
                <c:pt idx="0">
                  <c:v>473.39</c:v>
                </c:pt>
                <c:pt idx="1">
                  <c:v>473.39</c:v>
                </c:pt>
                <c:pt idx="2">
                  <c:v>473.39</c:v>
                </c:pt>
                <c:pt idx="3">
                  <c:v>473.39</c:v>
                </c:pt>
                <c:pt idx="4">
                  <c:v>473.39</c:v>
                </c:pt>
              </c:numCache>
            </c:numRef>
          </c:val>
          <c:smooth val="0"/>
        </c:ser>
        <c:hiLowLines>
          <c:spPr>
            <a:ln w="0">
              <a:noFill/>
            </a:ln>
          </c:spPr>
        </c:hiLowLines>
        <c:marker val="0"/>
        <c:axId val="51675701"/>
        <c:axId val="90370920"/>
      </c:lineChart>
      <c:catAx>
        <c:axId val="516757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70920"/>
        <c:crosses val="autoZero"/>
        <c:auto val="1"/>
        <c:lblAlgn val="ctr"/>
        <c:lblOffset val="100"/>
        <c:noMultiLvlLbl val="0"/>
      </c:catAx>
      <c:valAx>
        <c:axId val="9037092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6757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Free cash flow, $m</a:t>
            </a:r>
          </a:p>
        </c:rich>
      </c:tx>
      <c:overlay val="0"/>
      <c:spPr>
        <a:noFill/>
        <a:ln w="0">
          <a:noFill/>
        </a:ln>
      </c:spPr>
    </c:title>
    <c:autoTitleDeleted val="0"/>
    <c:plotArea>
      <c:barChart>
        <c:barDir val="col"/>
        <c:grouping val="clustered"/>
        <c:varyColors val="0"/>
        <c:ser>
          <c:idx val="0"/>
          <c:order val="0"/>
          <c:spPr>
            <a:solidFill>
              <a:srgbClr val="1b2a41"/>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Cash flows'!$D$4:$M$4</c:f>
              <c:strCache>
                <c:ptCount val="10"/>
                <c:pt idx="0">
                  <c:v>FY27</c:v>
                </c:pt>
                <c:pt idx="1">
                  <c:v>FY28</c:v>
                </c:pt>
                <c:pt idx="2">
                  <c:v>FY29</c:v>
                </c:pt>
                <c:pt idx="3">
                  <c:v>FY30</c:v>
                </c:pt>
                <c:pt idx="4">
                  <c:v>FY31</c:v>
                </c:pt>
                <c:pt idx="5">
                  <c:v>FY32</c:v>
                </c:pt>
                <c:pt idx="6">
                  <c:v>FY33</c:v>
                </c:pt>
                <c:pt idx="7">
                  <c:v>FY34</c:v>
                </c:pt>
                <c:pt idx="8">
                  <c:v>FY35</c:v>
                </c:pt>
                <c:pt idx="9">
                  <c:v>FY36</c:v>
                </c:pt>
              </c:strCache>
            </c:strRef>
          </c:cat>
          <c:val>
            <c:numRef>
              <c:f>'2 Cash flows'!$D$32:$M$32</c:f>
              <c:numCache>
                <c:formatCode>#,##0;\(#,##0\);\-</c:formatCode>
                <c:ptCount val="10"/>
                <c:pt idx="0">
                  <c:v>19559.114</c:v>
                </c:pt>
                <c:pt idx="1">
                  <c:v>17958.07255</c:v>
                </c:pt>
                <c:pt idx="2">
                  <c:v>17420.4287834</c:v>
                </c:pt>
                <c:pt idx="3">
                  <c:v>17347.698792496</c:v>
                </c:pt>
                <c:pt idx="4">
                  <c:v>17064.5251038856</c:v>
                </c:pt>
                <c:pt idx="5">
                  <c:v>17789.0332078289</c:v>
                </c:pt>
                <c:pt idx="6">
                  <c:v>18465.2995422622</c:v>
                </c:pt>
                <c:pt idx="7">
                  <c:v>19082.021896135</c:v>
                </c:pt>
                <c:pt idx="8">
                  <c:v>19629.5220989679</c:v>
                </c:pt>
                <c:pt idx="9">
                  <c:v>20100.2748074699</c:v>
                </c:pt>
              </c:numCache>
            </c:numRef>
          </c:val>
        </c:ser>
        <c:gapWidth val="150"/>
        <c:overlap val="0"/>
        <c:axId val="12987926"/>
        <c:axId val="29529637"/>
      </c:barChart>
      <c:catAx>
        <c:axId val="129879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29637"/>
        <c:crosses val="autoZero"/>
        <c:auto val="1"/>
        <c:lblAlgn val="ctr"/>
        <c:lblOffset val="100"/>
        <c:noMultiLvlLbl val="0"/>
      </c:catAx>
      <c:valAx>
        <c:axId val="29529637"/>
        <c:scaling>
          <c:orientation val="minMax"/>
          <c:min val="0"/>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9879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Forecast vs terminal</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2e6db4"/>
              </a:solidFill>
              <a:ln w="0">
                <a:noFill/>
              </a:ln>
            </c:spPr>
          </c:dPt>
          <c:dPt>
            <c:idx val="1"/>
            <c:spPr>
              <a:solidFill>
                <a:srgbClr val="a8c5e6"/>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Dashboard!$T$12:$T$13</c:f>
              <c:strCache>
                <c:ptCount val="2"/>
                <c:pt idx="0">
                  <c:v>Forecast years</c:v>
                </c:pt>
                <c:pt idx="1">
                  <c:v>Terminal value</c:v>
                </c:pt>
              </c:strCache>
            </c:strRef>
          </c:cat>
          <c:val>
            <c:numRef>
              <c:f>Dashboard!$U$12:$U$13</c:f>
              <c:numCache>
                <c:formatCode>#,##0;\(#,##0\);\-</c:formatCode>
                <c:ptCount val="2"/>
                <c:pt idx="0">
                  <c:v>110548.701163424</c:v>
                </c:pt>
                <c:pt idx="1">
                  <c:v>85608.8784861586</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xdr:row>
      <xdr:rowOff>0</xdr:rowOff>
    </xdr:from>
    <xdr:to>
      <xdr:col>5</xdr:col>
      <xdr:colOff>82800</xdr:colOff>
      <xdr:row>27</xdr:row>
      <xdr:rowOff>1080</xdr:rowOff>
    </xdr:to>
    <xdr:graphicFrame>
      <xdr:nvGraphicFramePr>
        <xdr:cNvPr id="0" name="Chart 1"/>
        <xdr:cNvGraphicFramePr/>
      </xdr:nvGraphicFramePr>
      <xdr:xfrm>
        <a:off x="211320" y="2495520"/>
        <a:ext cx="39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0</xdr:rowOff>
    </xdr:from>
    <xdr:to>
      <xdr:col>10</xdr:col>
      <xdr:colOff>654480</xdr:colOff>
      <xdr:row>27</xdr:row>
      <xdr:rowOff>1080</xdr:rowOff>
    </xdr:to>
    <xdr:graphicFrame>
      <xdr:nvGraphicFramePr>
        <xdr:cNvPr id="1" name="Chart 2"/>
        <xdr:cNvGraphicFramePr/>
      </xdr:nvGraphicFramePr>
      <xdr:xfrm>
        <a:off x="5004360" y="249552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10</xdr:row>
      <xdr:rowOff>0</xdr:rowOff>
    </xdr:from>
    <xdr:to>
      <xdr:col>14</xdr:col>
      <xdr:colOff>310680</xdr:colOff>
      <xdr:row>27</xdr:row>
      <xdr:rowOff>1080</xdr:rowOff>
    </xdr:to>
    <xdr:graphicFrame>
      <xdr:nvGraphicFramePr>
        <xdr:cNvPr id="2" name="Chart 3"/>
        <xdr:cNvGraphicFramePr/>
      </xdr:nvGraphicFramePr>
      <xdr:xfrm>
        <a:off x="9586080" y="2495520"/>
        <a:ext cx="30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ELL_valuation.xlsx" TargetMode="External"/><Relationship Id="rId2" Type="http://schemas.openxmlformats.org/officeDocument/2006/relationships/hyperlink" Target="DELL_valuation.xlsx" TargetMode="External"/><Relationship Id="rId3" Type="http://schemas.openxmlformats.org/officeDocument/2006/relationships/hyperlink" Target="DELL_valuation.xlsx" TargetMode="External"/><Relationship Id="rId4" Type="http://schemas.openxmlformats.org/officeDocument/2006/relationships/hyperlink" Target="DELL_valuation.xlsx" TargetMode="External"/><Relationship Id="rId5" Type="http://schemas.openxmlformats.org/officeDocument/2006/relationships/hyperlink" Target="DELL_valuation.xlsx" TargetMode="External"/><Relationship Id="rId6" Type="http://schemas.openxmlformats.org/officeDocument/2006/relationships/hyperlink" Target="DELL_valuation.xlsx" TargetMode="External"/><Relationship Id="rId7" Type="http://schemas.openxmlformats.org/officeDocument/2006/relationships/hyperlink" Target="DELL_valuation.xlsx" TargetMode="External"/><Relationship Id="rId8" Type="http://schemas.openxmlformats.org/officeDocument/2006/relationships/hyperlink" Target="DELL_valuation.xlsx"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1"/>
    <pageSetUpPr fitToPage="true"/>
  </sheetPr>
  <dimension ref="A1:V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15" min="3" style="0" width="13"/>
    <col collapsed="false" customWidth="true" hidden="false" outlineLevel="0" max="22" min="20" style="0" width="12"/>
  </cols>
  <sheetData>
    <row r="1" customFormat="false" ht="30" hidden="false" customHeight="true" outlineLevel="0" collapsed="false">
      <c r="A1" s="1"/>
      <c r="B1" s="2" t="s">
        <v>0</v>
      </c>
      <c r="C1" s="1"/>
      <c r="D1" s="1"/>
      <c r="E1" s="1"/>
      <c r="F1" s="1"/>
      <c r="G1" s="1"/>
      <c r="H1" s="1"/>
      <c r="I1" s="1"/>
      <c r="J1" s="1"/>
      <c r="K1" s="1"/>
      <c r="L1" s="1"/>
      <c r="M1" s="1"/>
      <c r="N1" s="1"/>
      <c r="O1" s="1"/>
      <c r="P1" s="1"/>
      <c r="Q1" s="1"/>
      <c r="R1" s="1"/>
      <c r="S1" s="1"/>
      <c r="T1" s="1"/>
      <c r="U1" s="1"/>
      <c r="V1" s="1"/>
    </row>
    <row r="2" customFormat="false" ht="18" hidden="false" customHeight="true" outlineLevel="0" collapsed="false">
      <c r="A2" s="1"/>
      <c r="B2" s="3" t="s">
        <v>1</v>
      </c>
      <c r="C2" s="1"/>
      <c r="D2" s="1"/>
      <c r="E2" s="1"/>
      <c r="F2" s="1"/>
      <c r="G2" s="1"/>
      <c r="H2" s="1"/>
      <c r="I2" s="1"/>
      <c r="J2" s="1"/>
      <c r="K2" s="1"/>
      <c r="L2" s="1"/>
      <c r="M2" s="1"/>
      <c r="N2" s="1"/>
      <c r="O2" s="1"/>
      <c r="P2" s="1"/>
      <c r="Q2" s="1"/>
      <c r="R2" s="1"/>
      <c r="S2" s="1"/>
      <c r="T2" s="1"/>
      <c r="U2" s="1"/>
      <c r="V2" s="1"/>
    </row>
    <row r="3" customFormat="false" ht="15" hidden="false" customHeight="false" outlineLevel="0" collapsed="false">
      <c r="T3" s="4" t="s">
        <v>2</v>
      </c>
    </row>
    <row r="4" customFormat="false" ht="15" hidden="false" customHeight="false" outlineLevel="0" collapsed="false">
      <c r="B4" s="5" t="s">
        <v>3</v>
      </c>
      <c r="P4" s="6" t="n">
        <f aca="false">IF(scen_name="Bear",1,IF(scen_name="Bull",3,2))</f>
        <v>2</v>
      </c>
      <c r="T4" s="4" t="s">
        <v>4</v>
      </c>
      <c r="U4" s="4" t="s">
        <v>5</v>
      </c>
      <c r="V4" s="4" t="s">
        <v>6</v>
      </c>
    </row>
    <row r="5" customFormat="false" ht="24" hidden="false" customHeight="true" outlineLevel="0" collapsed="false">
      <c r="B5" s="7" t="s">
        <v>7</v>
      </c>
      <c r="C5" s="8" t="s">
        <v>8</v>
      </c>
      <c r="T5" s="4" t="s">
        <v>9</v>
      </c>
      <c r="U5" s="9" t="n">
        <f aca="false">model_ps</f>
        <v>284.730152288726</v>
      </c>
      <c r="V5" s="9" t="n">
        <f aca="false">px_now</f>
        <v>473.39</v>
      </c>
    </row>
    <row r="6" customFormat="false" ht="15" hidden="false" customHeight="false" outlineLevel="0" collapsed="false">
      <c r="T6" s="4" t="s">
        <v>10</v>
      </c>
      <c r="U6" s="9" t="n">
        <f aca="false">'6 Verdict'!B6</f>
        <v>276.394447319484</v>
      </c>
      <c r="V6" s="9" t="n">
        <f aca="false">px_now</f>
        <v>473.39</v>
      </c>
    </row>
    <row r="7" customFormat="false" ht="15.75" hidden="false" customHeight="true" outlineLevel="0" collapsed="false">
      <c r="B7" s="10" t="s">
        <v>11</v>
      </c>
      <c r="C7" s="10"/>
      <c r="D7" s="10" t="s">
        <v>12</v>
      </c>
      <c r="E7" s="10"/>
      <c r="F7" s="10" t="s">
        <v>13</v>
      </c>
      <c r="G7" s="10"/>
      <c r="H7" s="10" t="s">
        <v>14</v>
      </c>
      <c r="I7" s="10"/>
      <c r="J7" s="10" t="s">
        <v>15</v>
      </c>
      <c r="K7" s="10"/>
      <c r="L7" s="10" t="s">
        <v>16</v>
      </c>
      <c r="M7" s="10"/>
      <c r="N7" s="10" t="s">
        <v>17</v>
      </c>
      <c r="O7" s="10"/>
      <c r="T7" s="4" t="s">
        <v>18</v>
      </c>
      <c r="U7" s="9" t="n">
        <f aca="false">comps_ps</f>
        <v>369.4063118651</v>
      </c>
      <c r="V7" s="9" t="n">
        <f aca="false">px_now</f>
        <v>473.39</v>
      </c>
    </row>
    <row r="8" customFormat="false" ht="33.75" hidden="false" customHeight="true" outlineLevel="0" collapsed="false">
      <c r="B8" s="11" t="n">
        <f aca="false">fair</f>
        <v>311.10315993213</v>
      </c>
      <c r="C8" s="11"/>
      <c r="D8" s="11" t="n">
        <f aca="false">px_now</f>
        <v>473.39</v>
      </c>
      <c r="E8" s="11"/>
      <c r="F8" s="12" t="n">
        <f aca="false">upside</f>
        <v>-0.342818479621179</v>
      </c>
      <c r="G8" s="12"/>
      <c r="H8" s="13" t="str">
        <f aca="false">v_call</f>
        <v>OVERVALUED</v>
      </c>
      <c r="I8" s="13"/>
      <c r="J8" s="12" t="n">
        <f aca="false">alpha</f>
        <v>-0.458942218426968</v>
      </c>
      <c r="K8" s="12"/>
      <c r="L8" s="14" t="n">
        <f aca="false">disc_rate</f>
        <v>0.115816210858736</v>
      </c>
      <c r="M8" s="14"/>
      <c r="N8" s="13" t="str">
        <f aca="false">eq_grade</f>
        <v>B</v>
      </c>
      <c r="O8" s="13"/>
      <c r="T8" s="4" t="s">
        <v>19</v>
      </c>
      <c r="U8" s="9" t="n">
        <f aca="false">IF(ISNUMBER(reg_ps),reg_ps,0)</f>
        <v>0</v>
      </c>
      <c r="V8" s="9" t="n">
        <f aca="false">px_now</f>
        <v>473.39</v>
      </c>
    </row>
    <row r="9" customFormat="false" ht="15" hidden="false" customHeight="true" outlineLevel="0" collapsed="false">
      <c r="B9" s="15" t="s">
        <v>20</v>
      </c>
      <c r="C9" s="15"/>
      <c r="D9" s="15" t="s">
        <v>21</v>
      </c>
      <c r="E9" s="15"/>
      <c r="F9" s="15" t="s">
        <v>22</v>
      </c>
      <c r="G9" s="15"/>
      <c r="H9" s="15" t="s">
        <v>23</v>
      </c>
      <c r="I9" s="15"/>
      <c r="J9" s="15" t="s">
        <v>24</v>
      </c>
      <c r="K9" s="15"/>
      <c r="L9" s="15" t="s">
        <v>25</v>
      </c>
      <c r="M9" s="15"/>
      <c r="N9" s="15" t="s">
        <v>26</v>
      </c>
      <c r="O9" s="15"/>
      <c r="T9" s="4" t="s">
        <v>27</v>
      </c>
      <c r="U9" s="9" t="n">
        <f aca="false">fair</f>
        <v>311.10315993213</v>
      </c>
      <c r="V9" s="9" t="n">
        <f aca="false">px_now</f>
        <v>473.39</v>
      </c>
    </row>
    <row r="11" customFormat="false" ht="15" hidden="false" customHeight="false" outlineLevel="0" collapsed="false">
      <c r="T11" s="4" t="s">
        <v>28</v>
      </c>
    </row>
    <row r="12" customFormat="false" ht="15" hidden="false" customHeight="false" outlineLevel="0" collapsed="false">
      <c r="T12" s="4" t="s">
        <v>29</v>
      </c>
      <c r="U12" s="16" t="n">
        <f aca="false">pv_sum</f>
        <v>110548.701163424</v>
      </c>
    </row>
    <row r="13" customFormat="false" ht="15" hidden="false" customHeight="false" outlineLevel="0" collapsed="false">
      <c r="T13" s="4" t="s">
        <v>30</v>
      </c>
      <c r="U13" s="16" t="n">
        <f aca="false">pv_tv</f>
        <v>85608.8784861586</v>
      </c>
    </row>
    <row r="31" customFormat="false" ht="15" hidden="false" customHeight="false" outlineLevel="0" collapsed="false">
      <c r="B31" s="5" t="s">
        <v>31</v>
      </c>
    </row>
    <row r="32" customFormat="false" ht="15" hidden="false" customHeight="false" outlineLevel="0" collapsed="false">
      <c r="B32" s="17" t="s">
        <v>32</v>
      </c>
      <c r="C32" s="18" t="s">
        <v>33</v>
      </c>
    </row>
    <row r="33" customFormat="false" ht="15" hidden="false" customHeight="false" outlineLevel="0" collapsed="false">
      <c r="B33" s="17" t="s">
        <v>34</v>
      </c>
      <c r="C33" s="18" t="s">
        <v>35</v>
      </c>
    </row>
    <row r="34" customFormat="false" ht="15" hidden="false" customHeight="false" outlineLevel="0" collapsed="false">
      <c r="B34" s="17" t="s">
        <v>36</v>
      </c>
      <c r="C34" s="18" t="s">
        <v>37</v>
      </c>
    </row>
    <row r="35" customFormat="false" ht="15" hidden="false" customHeight="false" outlineLevel="0" collapsed="false">
      <c r="B35" s="17" t="s">
        <v>38</v>
      </c>
      <c r="C35" s="18" t="s">
        <v>39</v>
      </c>
    </row>
    <row r="36" customFormat="false" ht="15" hidden="false" customHeight="false" outlineLevel="0" collapsed="false">
      <c r="B36" s="17" t="s">
        <v>40</v>
      </c>
      <c r="C36" s="18" t="s">
        <v>41</v>
      </c>
    </row>
    <row r="37" customFormat="false" ht="15" hidden="false" customHeight="false" outlineLevel="0" collapsed="false">
      <c r="B37" s="17" t="s">
        <v>42</v>
      </c>
      <c r="C37" s="18" t="s">
        <v>43</v>
      </c>
    </row>
    <row r="38" customFormat="false" ht="15" hidden="false" customHeight="false" outlineLevel="0" collapsed="false">
      <c r="B38" s="17" t="s">
        <v>44</v>
      </c>
      <c r="C38" s="18" t="s">
        <v>45</v>
      </c>
    </row>
    <row r="39" customFormat="false" ht="15" hidden="false" customHeight="false" outlineLevel="0" collapsed="false">
      <c r="B39" s="17" t="s">
        <v>46</v>
      </c>
      <c r="C39" s="18" t="s">
        <v>47</v>
      </c>
    </row>
    <row r="41" customFormat="false" ht="15" hidden="false" customHeight="false" outlineLevel="0" collapsed="false">
      <c r="B41" s="5" t="s">
        <v>48</v>
      </c>
    </row>
    <row r="42" customFormat="false" ht="15" hidden="false" customHeight="false" outlineLevel="0" collapsed="false">
      <c r="B42" s="19" t="s">
        <v>49</v>
      </c>
      <c r="C42" s="20" t="s">
        <v>50</v>
      </c>
    </row>
    <row r="43" customFormat="false" ht="15" hidden="false" customHeight="false" outlineLevel="0" collapsed="false">
      <c r="B43" s="20" t="s">
        <v>49</v>
      </c>
      <c r="C43" s="20" t="s">
        <v>51</v>
      </c>
    </row>
    <row r="44" customFormat="false" ht="15" hidden="false" customHeight="false" outlineLevel="0" collapsed="false">
      <c r="B44" s="21"/>
      <c r="C44" s="20" t="s">
        <v>52</v>
      </c>
    </row>
    <row r="45" customFormat="false" ht="15" hidden="false" customHeight="false" outlineLevel="0" collapsed="false">
      <c r="B45" s="22"/>
      <c r="C45" s="20" t="s">
        <v>53</v>
      </c>
    </row>
    <row r="47" customFormat="false" ht="15" hidden="false" customHeight="false" outlineLevel="0" collapsed="false">
      <c r="B47" s="5" t="s">
        <v>54</v>
      </c>
    </row>
    <row r="48" customFormat="false" ht="15" hidden="false" customHeight="false" outlineLevel="0" collapsed="false">
      <c r="B48" s="23" t="s">
        <v>55</v>
      </c>
      <c r="I48" s="24" t="s">
        <v>56</v>
      </c>
    </row>
    <row r="49" customFormat="false" ht="15" hidden="false" customHeight="false" outlineLevel="0" collapsed="false">
      <c r="B49" s="23" t="s">
        <v>57</v>
      </c>
      <c r="I49" s="24" t="s">
        <v>58</v>
      </c>
    </row>
    <row r="50" customFormat="false" ht="15" hidden="false" customHeight="false" outlineLevel="0" collapsed="false">
      <c r="B50" s="23" t="s">
        <v>59</v>
      </c>
      <c r="I50" s="24" t="s">
        <v>60</v>
      </c>
    </row>
    <row r="51" customFormat="false" ht="15" hidden="false" customHeight="false" outlineLevel="0" collapsed="false">
      <c r="B51" s="23" t="s">
        <v>61</v>
      </c>
      <c r="I51" s="24" t="s">
        <v>62</v>
      </c>
    </row>
    <row r="52" customFormat="false" ht="15" hidden="false" customHeight="false" outlineLevel="0" collapsed="false">
      <c r="B52" s="23" t="s">
        <v>63</v>
      </c>
      <c r="I52" s="24" t="s">
        <v>64</v>
      </c>
    </row>
    <row r="53" customFormat="false" ht="15" hidden="false" customHeight="false" outlineLevel="0" collapsed="false">
      <c r="B53" s="23" t="s">
        <v>65</v>
      </c>
      <c r="I53" s="24" t="s">
        <v>66</v>
      </c>
    </row>
    <row r="54" customFormat="false" ht="15" hidden="false" customHeight="false" outlineLevel="0" collapsed="false">
      <c r="B54" s="23" t="s">
        <v>67</v>
      </c>
      <c r="I54" s="24" t="s">
        <v>68</v>
      </c>
    </row>
    <row r="55" customFormat="false" ht="15" hidden="false" customHeight="false" outlineLevel="0" collapsed="false">
      <c r="B55" s="23" t="s">
        <v>69</v>
      </c>
      <c r="I55" s="24" t="s">
        <v>70</v>
      </c>
    </row>
    <row r="56" customFormat="false" ht="15" hidden="false" customHeight="false" outlineLevel="0" collapsed="false">
      <c r="B56" s="23" t="s">
        <v>71</v>
      </c>
      <c r="I56" s="24" t="s">
        <v>72</v>
      </c>
    </row>
    <row r="57" customFormat="false" ht="15" hidden="false" customHeight="false" outlineLevel="0" collapsed="false">
      <c r="B57" s="23" t="s">
        <v>73</v>
      </c>
      <c r="I57" s="24" t="s">
        <v>74</v>
      </c>
    </row>
    <row r="58" customFormat="false" ht="15" hidden="false" customHeight="false" outlineLevel="0" collapsed="false">
      <c r="B58" s="23" t="s">
        <v>75</v>
      </c>
      <c r="I58" s="24" t="s">
        <v>76</v>
      </c>
    </row>
    <row r="59" customFormat="false" ht="15" hidden="false" customHeight="false" outlineLevel="0" collapsed="false">
      <c r="B59" s="23" t="s">
        <v>77</v>
      </c>
      <c r="I59" s="24" t="s">
        <v>78</v>
      </c>
    </row>
    <row r="60" customFormat="false" ht="15" hidden="false" customHeight="false" outlineLevel="0" collapsed="false">
      <c r="B60" s="23" t="s">
        <v>79</v>
      </c>
      <c r="I60" s="24" t="s">
        <v>80</v>
      </c>
    </row>
    <row r="61" customFormat="false" ht="15" hidden="false" customHeight="false" outlineLevel="0" collapsed="false">
      <c r="B61" s="23" t="s">
        <v>81</v>
      </c>
      <c r="I61" s="24" t="s">
        <v>82</v>
      </c>
    </row>
    <row r="62" customFormat="false" ht="15" hidden="false" customHeight="false" outlineLevel="0" collapsed="false">
      <c r="B62" s="23" t="s">
        <v>83</v>
      </c>
      <c r="I62" s="24" t="s">
        <v>84</v>
      </c>
    </row>
  </sheetData>
  <mergeCells count="21">
    <mergeCell ref="B7:C7"/>
    <mergeCell ref="D7:E7"/>
    <mergeCell ref="F7:G7"/>
    <mergeCell ref="H7:I7"/>
    <mergeCell ref="J7:K7"/>
    <mergeCell ref="L7:M7"/>
    <mergeCell ref="N7:O7"/>
    <mergeCell ref="B8:C8"/>
    <mergeCell ref="D8:E8"/>
    <mergeCell ref="F8:G8"/>
    <mergeCell ref="H8:I8"/>
    <mergeCell ref="J8:K8"/>
    <mergeCell ref="L8:M8"/>
    <mergeCell ref="N8:O8"/>
    <mergeCell ref="B9:C9"/>
    <mergeCell ref="D9:E9"/>
    <mergeCell ref="F9:G9"/>
    <mergeCell ref="H9:I9"/>
    <mergeCell ref="J9:K9"/>
    <mergeCell ref="L9:M9"/>
    <mergeCell ref="N9:O9"/>
  </mergeCells>
  <conditionalFormatting sqref="F8">
    <cfRule type="expression" priority="2" aboveAverage="0" equalAverage="0" bottom="0" percent="0" rank="0" text="" dxfId="0">
      <formula>F8&gt;0</formula>
    </cfRule>
    <cfRule type="expression" priority="3" aboveAverage="0" equalAverage="0" bottom="0" percent="0" rank="0" text="" dxfId="1">
      <formula>F8&lt;0</formula>
    </cfRule>
  </conditionalFormatting>
  <conditionalFormatting sqref="H8">
    <cfRule type="expression" priority="4" aboveAverage="0" equalAverage="0" bottom="0" percent="0" rank="0" text="" dxfId="2">
      <formula>H8="UNDERVALUED"</formula>
    </cfRule>
    <cfRule type="expression" priority="5" aboveAverage="0" equalAverage="0" bottom="0" percent="0" rank="0" text="" dxfId="3">
      <formula>H8="OVERVALUED"</formula>
    </cfRule>
    <cfRule type="expression" priority="6" aboveAverage="0" equalAverage="0" bottom="0" percent="0" rank="0" text="" dxfId="4">
      <formula>H8="FAIRLY VALUED"</formula>
    </cfRule>
    <cfRule type="expression" priority="7" aboveAverage="0" equalAverage="0" bottom="0" percent="0" rank="0" text="" dxfId="5">
      <formula>H8="NO CALL"</formula>
    </cfRule>
  </conditionalFormatting>
  <conditionalFormatting sqref="J8">
    <cfRule type="expression" priority="8" aboveAverage="0" equalAverage="0" bottom="0" percent="0" rank="0" text="" dxfId="0">
      <formula>J8&gt;0</formula>
    </cfRule>
    <cfRule type="expression" priority="9" aboveAverage="0" equalAverage="0" bottom="0" percent="0" rank="0" text="" dxfId="1">
      <formula>J8&lt;0</formula>
    </cfRule>
  </conditionalFormatting>
  <conditionalFormatting sqref="N8">
    <cfRule type="expression" priority="10" aboveAverage="0" equalAverage="0" bottom="0" percent="0" rank="0" text="" dxfId="0">
      <formula>N8="A"</formula>
    </cfRule>
    <cfRule type="expression" priority="11" aboveAverage="0" equalAverage="0" bottom="0" percent="0" rank="0" text="" dxfId="6">
      <formula>N8="B"</formula>
    </cfRule>
    <cfRule type="expression" priority="12" aboveAverage="0" equalAverage="0" bottom="0" percent="0" rank="0" text="" dxfId="7">
      <formula>N8="C"</formula>
    </cfRule>
    <cfRule type="expression" priority="13" aboveAverage="0" equalAverage="0" bottom="0" percent="0" rank="0" text="" dxfId="1">
      <formula>N8="D"</formula>
    </cfRule>
  </conditionalFormatting>
  <dataValidations count="1">
    <dataValidation allowBlank="false" error="Pick Bear, Base or Bull" errorStyle="stop" errorTitle="Scenario" operator="between" prompt="Pick Bear, Base or Bull" promptTitle="Scenario" showDropDown="false" showErrorMessage="false" showInputMessage="false" sqref="B5" type="list">
      <formula1>"Bear,Base,Bull"</formula1>
      <formula2>0</formula2>
    </dataValidation>
  </dataValidations>
  <hyperlinks>
    <hyperlink ref="B32" r:id="rId1" location="'1%20History'!A1" display="1 History"/>
    <hyperlink ref="B33" r:id="rId2" location="'2%20Cash%20flows'!A1" display="2 Cash flows"/>
    <hyperlink ref="B34" r:id="rId3" location="'3%20Discount%20rate'!A1" display="3 Discount rate"/>
    <hyperlink ref="B35" r:id="rId4" location="'4%20Discount'!A1" display="4 Discount"/>
    <hyperlink ref="B36" r:id="rId5" location="'5%20Price'!A1" display="5 Price"/>
    <hyperlink ref="B37" r:id="rId6" location="'6%20Verdict'!A1" display="6 Verdict"/>
    <hyperlink ref="B38" r:id="rId7" location="'Inputs'!A1" display="Inputs"/>
    <hyperlink ref="B39" r:id="rId8" location="'Scenarios'!A1" display="Scenario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6"/>
    <col collapsed="false" customWidth="true" hidden="false" outlineLevel="0" max="6" min="6" style="0" width="11"/>
    <col collapsed="false" customWidth="true" hidden="false" outlineLevel="0" max="7" min="7" style="0" width="100"/>
    <col collapsed="false" customWidth="true" hidden="false" outlineLevel="0" max="12" min="8" style="0" width="12"/>
  </cols>
  <sheetData>
    <row r="1" customFormat="false" ht="25.5" hidden="false" customHeight="true" outlineLevel="0" collapsed="false">
      <c r="A1" s="25" t="s">
        <v>44</v>
      </c>
      <c r="B1" s="26"/>
      <c r="C1" s="26"/>
      <c r="D1" s="26"/>
      <c r="E1" s="26"/>
      <c r="F1" s="26"/>
      <c r="G1" s="26"/>
      <c r="H1" s="1"/>
      <c r="I1" s="1"/>
      <c r="J1" s="1"/>
      <c r="K1" s="1"/>
      <c r="L1" s="1"/>
    </row>
    <row r="2" customFormat="false" ht="15.75" hidden="false" customHeight="true" outlineLevel="0" collapsed="false">
      <c r="A2" s="27" t="s">
        <v>85</v>
      </c>
      <c r="B2" s="28"/>
      <c r="C2" s="28"/>
      <c r="D2" s="28"/>
      <c r="E2" s="28"/>
      <c r="F2" s="28"/>
      <c r="G2" s="28"/>
      <c r="H2" s="29"/>
      <c r="I2" s="29"/>
      <c r="J2" s="29"/>
      <c r="K2" s="29"/>
      <c r="L2" s="29"/>
    </row>
    <row r="3" customFormat="false" ht="15" hidden="false" customHeight="false" outlineLevel="0" collapsed="false">
      <c r="A3" s="30"/>
      <c r="B3" s="30"/>
      <c r="C3" s="30"/>
      <c r="D3" s="30"/>
      <c r="E3" s="30"/>
      <c r="F3" s="30"/>
      <c r="G3" s="30"/>
    </row>
    <row r="4" customFormat="false" ht="15" hidden="false" customHeight="false" outlineLevel="0" collapsed="false">
      <c r="A4" s="31" t="s">
        <v>86</v>
      </c>
      <c r="B4" s="32" t="s">
        <v>87</v>
      </c>
      <c r="C4" s="32" t="s">
        <v>88</v>
      </c>
      <c r="D4" s="32" t="s">
        <v>89</v>
      </c>
      <c r="E4" s="32" t="s">
        <v>90</v>
      </c>
      <c r="F4" s="32" t="s">
        <v>91</v>
      </c>
      <c r="G4" s="32" t="s">
        <v>92</v>
      </c>
      <c r="H4" s="33"/>
      <c r="I4" s="33"/>
      <c r="J4" s="33"/>
      <c r="K4" s="33"/>
      <c r="L4" s="33"/>
    </row>
    <row r="5" customFormat="false" ht="15" hidden="false" customHeight="false" outlineLevel="0" collapsed="false">
      <c r="A5" s="34" t="s">
        <v>93</v>
      </c>
      <c r="B5" s="35"/>
      <c r="C5" s="35"/>
      <c r="D5" s="35"/>
      <c r="E5" s="35"/>
      <c r="F5" s="35"/>
      <c r="G5" s="35"/>
      <c r="H5" s="33"/>
      <c r="I5" s="33"/>
      <c r="J5" s="33"/>
      <c r="K5" s="33"/>
      <c r="L5" s="33"/>
    </row>
    <row r="6" customFormat="false" ht="15" hidden="false" customHeight="false" outlineLevel="0" collapsed="false">
      <c r="A6" s="36" t="s">
        <v>94</v>
      </c>
      <c r="B6" s="37" t="n">
        <v>473.39</v>
      </c>
      <c r="C6" s="38"/>
      <c r="D6" s="39" t="n">
        <f aca="false">IF(ISBLANK(C6),B6,C6)</f>
        <v>473.39</v>
      </c>
      <c r="E6" s="36" t="s">
        <v>95</v>
      </c>
      <c r="F6" s="36" t="s">
        <v>96</v>
      </c>
      <c r="G6" s="36" t="s">
        <v>97</v>
      </c>
      <c r="H6" s="33"/>
      <c r="I6" s="33"/>
      <c r="J6" s="33"/>
      <c r="K6" s="33"/>
      <c r="L6" s="33"/>
    </row>
    <row r="7" customFormat="false" ht="15" hidden="false" customHeight="false" outlineLevel="0" collapsed="false">
      <c r="A7" s="36" t="s">
        <v>98</v>
      </c>
      <c r="B7" s="40" t="n">
        <v>635.81</v>
      </c>
      <c r="C7" s="41"/>
      <c r="D7" s="42" t="n">
        <f aca="false">IF(ISBLANK(C7),B7,C7)</f>
        <v>635.81</v>
      </c>
      <c r="E7" s="36" t="s">
        <v>99</v>
      </c>
      <c r="F7" s="36" t="s">
        <v>96</v>
      </c>
      <c r="G7" s="36" t="s">
        <v>100</v>
      </c>
      <c r="H7" s="33"/>
      <c r="I7" s="33"/>
      <c r="J7" s="33"/>
      <c r="K7" s="33"/>
      <c r="L7" s="33"/>
    </row>
    <row r="8" customFormat="false" ht="15" hidden="false" customHeight="false" outlineLevel="0" collapsed="false">
      <c r="A8" s="36" t="s">
        <v>101</v>
      </c>
      <c r="B8" s="40" t="n">
        <v>10</v>
      </c>
      <c r="C8" s="41"/>
      <c r="D8" s="42" t="n">
        <f aca="false">IF(ISBLANK(C8),B8,C8)</f>
        <v>10</v>
      </c>
      <c r="E8" s="36" t="s">
        <v>99</v>
      </c>
      <c r="F8" s="36" t="s">
        <v>102</v>
      </c>
      <c r="G8" s="36" t="s">
        <v>103</v>
      </c>
      <c r="H8" s="33"/>
      <c r="I8" s="33"/>
      <c r="J8" s="33"/>
      <c r="K8" s="33"/>
      <c r="L8" s="33"/>
    </row>
    <row r="9" customFormat="false" ht="15" hidden="false" customHeight="false" outlineLevel="0" collapsed="false">
      <c r="A9" s="36" t="s">
        <v>104</v>
      </c>
      <c r="B9" s="37" t="n">
        <v>2.52</v>
      </c>
      <c r="C9" s="38"/>
      <c r="D9" s="39" t="n">
        <f aca="false">IF(ISBLANK(C9),B9,C9)</f>
        <v>2.52</v>
      </c>
      <c r="E9" s="36" t="s">
        <v>95</v>
      </c>
      <c r="F9" s="36" t="s">
        <v>96</v>
      </c>
      <c r="G9" s="36" t="s">
        <v>105</v>
      </c>
      <c r="H9" s="33"/>
      <c r="I9" s="33"/>
      <c r="J9" s="33"/>
      <c r="K9" s="33"/>
      <c r="L9" s="33"/>
    </row>
    <row r="10" customFormat="false" ht="15" hidden="false" customHeight="false" outlineLevel="0" collapsed="false">
      <c r="A10" s="34" t="s">
        <v>106</v>
      </c>
      <c r="B10" s="35"/>
      <c r="C10" s="35"/>
      <c r="D10" s="35"/>
      <c r="E10" s="35"/>
      <c r="F10" s="35"/>
      <c r="G10" s="35"/>
      <c r="H10" s="33"/>
      <c r="I10" s="33"/>
      <c r="J10" s="33"/>
      <c r="K10" s="33"/>
      <c r="L10" s="33"/>
    </row>
    <row r="11" customFormat="false" ht="15" hidden="false" customHeight="false" outlineLevel="0" collapsed="false">
      <c r="A11" s="36" t="s">
        <v>107</v>
      </c>
      <c r="B11" s="43" t="n">
        <v>0.051</v>
      </c>
      <c r="C11" s="44"/>
      <c r="D11" s="45" t="n">
        <f aca="false">IF(ISBLANK(C11),B11,C11)</f>
        <v>0.051</v>
      </c>
      <c r="E11" s="36" t="s">
        <v>108</v>
      </c>
      <c r="F11" s="36" t="s">
        <v>96</v>
      </c>
      <c r="G11" s="36" t="s">
        <v>109</v>
      </c>
      <c r="H11" s="33"/>
      <c r="I11" s="33"/>
      <c r="J11" s="33"/>
      <c r="K11" s="33"/>
      <c r="L11" s="33"/>
    </row>
    <row r="12" customFormat="false" ht="15" hidden="false" customHeight="false" outlineLevel="0" collapsed="false">
      <c r="A12" s="36" t="s">
        <v>110</v>
      </c>
      <c r="B12" s="43" t="n">
        <v>0.0933</v>
      </c>
      <c r="C12" s="44"/>
      <c r="D12" s="45" t="n">
        <f aca="false">IF(ISBLANK(C12),B12,C12)</f>
        <v>0.0933</v>
      </c>
      <c r="E12" s="36" t="s">
        <v>108</v>
      </c>
      <c r="F12" s="36" t="s">
        <v>102</v>
      </c>
      <c r="G12" s="36" t="s">
        <v>111</v>
      </c>
      <c r="H12" s="33"/>
      <c r="I12" s="33"/>
      <c r="J12" s="33"/>
      <c r="K12" s="33"/>
      <c r="L12" s="33"/>
    </row>
    <row r="13" customFormat="false" ht="15" hidden="false" customHeight="false" outlineLevel="0" collapsed="false">
      <c r="A13" s="36" t="s">
        <v>112</v>
      </c>
      <c r="B13" s="43" t="n">
        <v>0</v>
      </c>
      <c r="C13" s="44"/>
      <c r="D13" s="45" t="n">
        <f aca="false">IF(ISBLANK(C13),B13,C13)</f>
        <v>0</v>
      </c>
      <c r="E13" s="36" t="s">
        <v>108</v>
      </c>
      <c r="F13" s="36" t="s">
        <v>102</v>
      </c>
      <c r="G13" s="36" t="s">
        <v>113</v>
      </c>
      <c r="H13" s="33"/>
      <c r="I13" s="33"/>
      <c r="J13" s="33"/>
      <c r="K13" s="33"/>
      <c r="L13" s="33"/>
    </row>
    <row r="14" customFormat="false" ht="15" hidden="false" customHeight="false" outlineLevel="0" collapsed="false">
      <c r="A14" s="36" t="s">
        <v>114</v>
      </c>
      <c r="B14" s="43" t="n">
        <v>0</v>
      </c>
      <c r="C14" s="44"/>
      <c r="D14" s="45" t="n">
        <f aca="false">IF(ISBLANK(C14),B14,C14)</f>
        <v>0</v>
      </c>
      <c r="E14" s="36" t="s">
        <v>108</v>
      </c>
      <c r="F14" s="36" t="s">
        <v>115</v>
      </c>
      <c r="G14" s="36"/>
      <c r="H14" s="33"/>
      <c r="I14" s="33"/>
      <c r="J14" s="33"/>
      <c r="K14" s="33"/>
      <c r="L14" s="33"/>
    </row>
    <row r="15" customFormat="false" ht="15" hidden="false" customHeight="false" outlineLevel="0" collapsed="false">
      <c r="A15" s="36" t="s">
        <v>116</v>
      </c>
      <c r="B15" s="46" t="s">
        <v>117</v>
      </c>
      <c r="C15" s="47"/>
      <c r="D15" s="48" t="str">
        <f aca="false">IF(ISBLANK(C15),B15,C15)</f>
        <v>daily_adj</v>
      </c>
      <c r="E15" s="36"/>
      <c r="F15" s="36" t="s">
        <v>115</v>
      </c>
      <c r="G15" s="36"/>
      <c r="H15" s="33"/>
      <c r="I15" s="33"/>
      <c r="J15" s="33"/>
      <c r="K15" s="33"/>
      <c r="L15" s="33"/>
    </row>
    <row r="16" customFormat="false" ht="15" hidden="false" customHeight="false" outlineLevel="0" collapsed="false">
      <c r="A16" s="36" t="s">
        <v>118</v>
      </c>
      <c r="B16" s="46" t="n">
        <v>1.44</v>
      </c>
      <c r="C16" s="47"/>
      <c r="D16" s="48" t="n">
        <f aca="false">IF(ISBLANK(C16),B16,C16)</f>
        <v>1.44</v>
      </c>
      <c r="E16" s="36"/>
      <c r="F16" s="36" t="s">
        <v>96</v>
      </c>
      <c r="G16" s="36" t="s">
        <v>119</v>
      </c>
      <c r="H16" s="33"/>
      <c r="I16" s="33"/>
      <c r="J16" s="33"/>
      <c r="K16" s="33"/>
      <c r="L16" s="33"/>
    </row>
    <row r="17" customFormat="false" ht="15" hidden="false" customHeight="false" outlineLevel="0" collapsed="false">
      <c r="A17" s="36" t="s">
        <v>120</v>
      </c>
      <c r="B17" s="46" t="n">
        <v>1.99315638723121</v>
      </c>
      <c r="C17" s="47"/>
      <c r="D17" s="48" t="n">
        <f aca="false">IF(ISBLANK(C17),B17,C17)</f>
        <v>1.99315638723121</v>
      </c>
      <c r="E17" s="36"/>
      <c r="F17" s="36" t="s">
        <v>121</v>
      </c>
      <c r="G17" s="36" t="s">
        <v>122</v>
      </c>
      <c r="H17" s="33"/>
      <c r="I17" s="33"/>
      <c r="J17" s="33"/>
      <c r="K17" s="33"/>
      <c r="L17" s="33"/>
    </row>
    <row r="18" customFormat="false" ht="15" hidden="false" customHeight="false" outlineLevel="0" collapsed="false">
      <c r="A18" s="36" t="s">
        <v>123</v>
      </c>
      <c r="B18" s="46" t="n">
        <v>0.914813872858739</v>
      </c>
      <c r="C18" s="47"/>
      <c r="D18" s="48" t="n">
        <f aca="false">IF(ISBLANK(C18),B18,C18)</f>
        <v>0.914813872858739</v>
      </c>
      <c r="E18" s="36"/>
      <c r="F18" s="36" t="s">
        <v>121</v>
      </c>
      <c r="G18" s="36" t="s">
        <v>124</v>
      </c>
      <c r="H18" s="33"/>
      <c r="I18" s="33"/>
      <c r="J18" s="33"/>
      <c r="K18" s="33"/>
      <c r="L18" s="33"/>
    </row>
    <row r="19" customFormat="false" ht="15" hidden="false" customHeight="false" outlineLevel="0" collapsed="false">
      <c r="A19" s="36" t="s">
        <v>125</v>
      </c>
      <c r="B19" s="46" t="n">
        <v>1.3</v>
      </c>
      <c r="C19" s="47"/>
      <c r="D19" s="48" t="n">
        <f aca="false">IF(ISBLANK(C19),B19,C19)</f>
        <v>1.3</v>
      </c>
      <c r="E19" s="36"/>
      <c r="F19" s="36" t="s">
        <v>102</v>
      </c>
      <c r="G19" s="36" t="s">
        <v>126</v>
      </c>
      <c r="H19" s="33"/>
      <c r="I19" s="33"/>
      <c r="J19" s="33"/>
      <c r="K19" s="33"/>
      <c r="L19" s="33"/>
    </row>
    <row r="20" customFormat="false" ht="15" hidden="false" customHeight="false" outlineLevel="0" collapsed="false">
      <c r="A20" s="36" t="s">
        <v>127</v>
      </c>
      <c r="B20" s="46" t="n">
        <v>1.37772401588933</v>
      </c>
      <c r="C20" s="47"/>
      <c r="D20" s="48" t="n">
        <f aca="false">IF(ISBLANK(C20),B20,C20)</f>
        <v>1.37772401588933</v>
      </c>
      <c r="E20" s="36"/>
      <c r="F20" s="36" t="s">
        <v>128</v>
      </c>
      <c r="G20" s="36" t="s">
        <v>129</v>
      </c>
      <c r="H20" s="33"/>
      <c r="I20" s="33"/>
      <c r="J20" s="33"/>
      <c r="K20" s="33"/>
      <c r="L20" s="33"/>
    </row>
    <row r="21" customFormat="false" ht="15" hidden="false" customHeight="false" outlineLevel="0" collapsed="false">
      <c r="A21" s="36" t="s">
        <v>130</v>
      </c>
      <c r="B21" s="43" t="n">
        <v>0.0614</v>
      </c>
      <c r="C21" s="44"/>
      <c r="D21" s="45" t="n">
        <f aca="false">IF(ISBLANK(C21),B21,C21)</f>
        <v>0.0614</v>
      </c>
      <c r="E21" s="36" t="s">
        <v>108</v>
      </c>
      <c r="F21" s="36" t="s">
        <v>96</v>
      </c>
      <c r="G21" s="36" t="s">
        <v>131</v>
      </c>
      <c r="H21" s="33"/>
      <c r="I21" s="33"/>
      <c r="J21" s="33"/>
      <c r="K21" s="33"/>
      <c r="L21" s="33"/>
    </row>
    <row r="22" customFormat="false" ht="15" hidden="false" customHeight="false" outlineLevel="0" collapsed="false">
      <c r="A22" s="36" t="s">
        <v>132</v>
      </c>
      <c r="B22" s="43" t="n">
        <v>0.21</v>
      </c>
      <c r="C22" s="44"/>
      <c r="D22" s="45" t="n">
        <f aca="false">IF(ISBLANK(C22),B22,C22)</f>
        <v>0.21</v>
      </c>
      <c r="E22" s="36" t="s">
        <v>108</v>
      </c>
      <c r="F22" s="36" t="s">
        <v>102</v>
      </c>
      <c r="G22" s="36" t="s">
        <v>133</v>
      </c>
      <c r="H22" s="33"/>
      <c r="I22" s="33"/>
      <c r="J22" s="33"/>
      <c r="K22" s="33"/>
      <c r="L22" s="33"/>
    </row>
    <row r="23" customFormat="false" ht="15" hidden="false" customHeight="false" outlineLevel="0" collapsed="false">
      <c r="A23" s="34" t="s">
        <v>134</v>
      </c>
      <c r="B23" s="35"/>
      <c r="C23" s="35"/>
      <c r="D23" s="35"/>
      <c r="E23" s="35"/>
      <c r="F23" s="35"/>
      <c r="G23" s="35"/>
      <c r="H23" s="33"/>
      <c r="I23" s="33"/>
      <c r="J23" s="33"/>
      <c r="K23" s="33"/>
      <c r="L23" s="33"/>
    </row>
    <row r="24" customFormat="false" ht="15" hidden="false" customHeight="false" outlineLevel="0" collapsed="false">
      <c r="A24" s="36" t="s">
        <v>135</v>
      </c>
      <c r="B24" s="43" t="n">
        <v>0.03</v>
      </c>
      <c r="C24" s="44"/>
      <c r="D24" s="45" t="n">
        <f aca="false">IF(ISBLANK(C24),B24,C24)</f>
        <v>0.03</v>
      </c>
      <c r="E24" s="36" t="s">
        <v>108</v>
      </c>
      <c r="F24" s="36" t="s">
        <v>102</v>
      </c>
      <c r="G24" s="36" t="s">
        <v>136</v>
      </c>
      <c r="H24" s="33"/>
      <c r="I24" s="33"/>
      <c r="J24" s="33"/>
      <c r="K24" s="33"/>
      <c r="L24" s="33"/>
    </row>
    <row r="25" customFormat="false" ht="15" hidden="false" customHeight="false" outlineLevel="0" collapsed="false">
      <c r="A25" s="36" t="s">
        <v>137</v>
      </c>
      <c r="B25" s="37" t="n">
        <v>0.2875</v>
      </c>
      <c r="C25" s="38"/>
      <c r="D25" s="39" t="n">
        <f aca="false">IF(ISBLANK(C25),B25,C25)</f>
        <v>0.2875</v>
      </c>
      <c r="E25" s="36" t="s">
        <v>138</v>
      </c>
      <c r="F25" s="36" t="s">
        <v>121</v>
      </c>
      <c r="G25" s="36" t="s">
        <v>139</v>
      </c>
      <c r="H25" s="33"/>
      <c r="I25" s="33"/>
      <c r="J25" s="33"/>
      <c r="K25" s="33"/>
      <c r="L25" s="33"/>
    </row>
    <row r="26" customFormat="false" ht="15" hidden="false" customHeight="false" outlineLevel="0" collapsed="false">
      <c r="A26" s="36" t="s">
        <v>140</v>
      </c>
      <c r="B26" s="37" t="n">
        <v>0.527</v>
      </c>
      <c r="C26" s="38"/>
      <c r="D26" s="39" t="n">
        <f aca="false">IF(ISBLANK(C26),B26,C26)</f>
        <v>0.527</v>
      </c>
      <c r="E26" s="36"/>
      <c r="F26" s="36" t="s">
        <v>121</v>
      </c>
      <c r="G26" s="36" t="s">
        <v>141</v>
      </c>
      <c r="H26" s="33"/>
      <c r="I26" s="33"/>
      <c r="J26" s="33"/>
      <c r="K26" s="33"/>
      <c r="L26" s="33"/>
    </row>
    <row r="27" customFormat="false" ht="15" hidden="false" customHeight="false" outlineLevel="0" collapsed="false">
      <c r="A27" s="36" t="s">
        <v>142</v>
      </c>
      <c r="B27" s="37" t="n">
        <v>1</v>
      </c>
      <c r="C27" s="38"/>
      <c r="D27" s="39" t="n">
        <f aca="false">IF(ISBLANK(C27),B27,C27)</f>
        <v>1</v>
      </c>
      <c r="E27" s="36"/>
      <c r="F27" s="36" t="s">
        <v>115</v>
      </c>
      <c r="G27" s="36"/>
      <c r="H27" s="33"/>
      <c r="I27" s="33"/>
      <c r="J27" s="33"/>
      <c r="K27" s="33"/>
      <c r="L27" s="33"/>
    </row>
    <row r="28" customFormat="false" ht="15" hidden="false" customHeight="false" outlineLevel="0" collapsed="false">
      <c r="A28" s="34" t="s">
        <v>143</v>
      </c>
      <c r="B28" s="35"/>
      <c r="C28" s="35"/>
      <c r="D28" s="35"/>
      <c r="E28" s="35"/>
      <c r="F28" s="35"/>
      <c r="G28" s="35"/>
      <c r="H28" s="33"/>
      <c r="I28" s="33"/>
      <c r="J28" s="33"/>
      <c r="K28" s="33"/>
      <c r="L28" s="33"/>
    </row>
    <row r="29" customFormat="false" ht="15" hidden="false" customHeight="false" outlineLevel="0" collapsed="false">
      <c r="A29" s="36" t="s">
        <v>144</v>
      </c>
      <c r="B29" s="43" t="n">
        <v>0.1</v>
      </c>
      <c r="C29" s="44"/>
      <c r="D29" s="45" t="n">
        <f aca="false">IF(ISBLANK(C29),B29,C29)</f>
        <v>0.1</v>
      </c>
      <c r="E29" s="36" t="s">
        <v>108</v>
      </c>
      <c r="F29" s="36" t="s">
        <v>102</v>
      </c>
      <c r="G29" s="36" t="s">
        <v>145</v>
      </c>
      <c r="H29" s="33"/>
      <c r="I29" s="33"/>
      <c r="J29" s="33"/>
      <c r="K29" s="33"/>
      <c r="L29" s="33"/>
    </row>
    <row r="30" customFormat="false" ht="15" hidden="false" customHeight="false" outlineLevel="0" collapsed="false">
      <c r="A30" s="36" t="s">
        <v>146</v>
      </c>
      <c r="B30" s="37" t="n">
        <v>1</v>
      </c>
      <c r="C30" s="38"/>
      <c r="D30" s="39" t="n">
        <f aca="false">IF(ISBLANK(C30),B30,C30)</f>
        <v>1</v>
      </c>
      <c r="E30" s="36" t="s">
        <v>138</v>
      </c>
      <c r="F30" s="36" t="s">
        <v>102</v>
      </c>
      <c r="G30" s="36" t="s">
        <v>147</v>
      </c>
      <c r="H30" s="33"/>
      <c r="I30" s="33"/>
      <c r="J30" s="33"/>
      <c r="K30" s="33"/>
      <c r="L30" s="33"/>
    </row>
    <row r="31" customFormat="false" ht="15" hidden="false" customHeight="false" outlineLevel="0" collapsed="false">
      <c r="A31" s="36" t="s">
        <v>148</v>
      </c>
      <c r="B31" s="37" t="n">
        <v>0.3</v>
      </c>
      <c r="C31" s="38"/>
      <c r="D31" s="39" t="n">
        <f aca="false">IF(ISBLANK(C31),B31,C31)</f>
        <v>0.3</v>
      </c>
      <c r="E31" s="36"/>
      <c r="F31" s="36" t="s">
        <v>102</v>
      </c>
      <c r="G31" s="36" t="s">
        <v>149</v>
      </c>
      <c r="H31" s="33"/>
      <c r="I31" s="33"/>
      <c r="J31" s="33"/>
      <c r="K31" s="33"/>
      <c r="L31" s="33"/>
    </row>
    <row r="32" customFormat="false" ht="15" hidden="false" customHeight="false" outlineLevel="0" collapsed="false">
      <c r="A32" s="36" t="s">
        <v>150</v>
      </c>
      <c r="B32" s="37" t="n">
        <v>1</v>
      </c>
      <c r="C32" s="38"/>
      <c r="D32" s="39" t="n">
        <f aca="false">IF(ISBLANK(C32),B32,C32)</f>
        <v>1</v>
      </c>
      <c r="E32" s="36"/>
      <c r="F32" s="36" t="s">
        <v>115</v>
      </c>
      <c r="G32" s="36"/>
      <c r="H32" s="33"/>
      <c r="I32" s="33"/>
      <c r="J32" s="33"/>
      <c r="K32" s="33"/>
      <c r="L32" s="33"/>
    </row>
    <row r="33" customFormat="false" ht="15" hidden="false" customHeight="false" outlineLevel="0" collapsed="false">
      <c r="A33" s="34" t="s">
        <v>151</v>
      </c>
      <c r="B33" s="35"/>
      <c r="C33" s="35"/>
      <c r="D33" s="35"/>
      <c r="E33" s="35"/>
      <c r="F33" s="35"/>
      <c r="G33" s="35"/>
      <c r="H33" s="33"/>
      <c r="I33" s="33"/>
      <c r="J33" s="33"/>
      <c r="K33" s="33"/>
      <c r="L33" s="33"/>
    </row>
    <row r="34" customFormat="false" ht="15" hidden="false" customHeight="false" outlineLevel="0" collapsed="false">
      <c r="A34" s="36" t="s">
        <v>152</v>
      </c>
      <c r="B34" s="40" t="n">
        <v>113538</v>
      </c>
      <c r="C34" s="41"/>
      <c r="D34" s="42" t="n">
        <f aca="false">IF(ISBLANK(C34),B34,C34)</f>
        <v>113538</v>
      </c>
      <c r="E34" s="36" t="s">
        <v>153</v>
      </c>
      <c r="F34" s="36" t="s">
        <v>96</v>
      </c>
      <c r="G34" s="36" t="s">
        <v>154</v>
      </c>
      <c r="H34" s="33"/>
      <c r="I34" s="33"/>
      <c r="J34" s="33"/>
      <c r="K34" s="33"/>
      <c r="L34" s="33"/>
    </row>
    <row r="35" customFormat="false" ht="15" hidden="false" customHeight="false" outlineLevel="0" collapsed="false">
      <c r="A35" s="36" t="s">
        <v>155</v>
      </c>
      <c r="B35" s="43" t="n">
        <v>0.012</v>
      </c>
      <c r="C35" s="44"/>
      <c r="D35" s="45" t="n">
        <f aca="false">IF(ISBLANK(C35),B35,C35)</f>
        <v>0.012</v>
      </c>
      <c r="E35" s="36" t="s">
        <v>108</v>
      </c>
      <c r="F35" s="36" t="s">
        <v>121</v>
      </c>
      <c r="G35" s="36" t="s">
        <v>156</v>
      </c>
      <c r="H35" s="33"/>
      <c r="I35" s="33"/>
      <c r="J35" s="33"/>
      <c r="K35" s="33"/>
      <c r="L35" s="33"/>
    </row>
    <row r="36" customFormat="false" ht="15" hidden="false" customHeight="false" outlineLevel="0" collapsed="false">
      <c r="A36" s="36" t="s">
        <v>157</v>
      </c>
      <c r="B36" s="43" t="n">
        <v>0.18</v>
      </c>
      <c r="C36" s="44"/>
      <c r="D36" s="45" t="n">
        <f aca="false">IF(ISBLANK(C36),B36,C36)</f>
        <v>0.18</v>
      </c>
      <c r="E36" s="36" t="s">
        <v>108</v>
      </c>
      <c r="F36" s="36" t="s">
        <v>121</v>
      </c>
      <c r="G36" s="36" t="s">
        <v>158</v>
      </c>
      <c r="H36" s="33"/>
      <c r="I36" s="33"/>
      <c r="J36" s="33"/>
      <c r="K36" s="33"/>
      <c r="L36" s="33"/>
    </row>
    <row r="37" customFormat="false" ht="15" hidden="false" customHeight="false" outlineLevel="0" collapsed="false">
      <c r="A37" s="36" t="s">
        <v>159</v>
      </c>
      <c r="B37" s="43" t="n">
        <v>0.2</v>
      </c>
      <c r="C37" s="44"/>
      <c r="D37" s="45" t="n">
        <f aca="false">IF(ISBLANK(C37),B37,C37)</f>
        <v>0.2</v>
      </c>
      <c r="E37" s="36" t="s">
        <v>108</v>
      </c>
      <c r="F37" s="36" t="s">
        <v>102</v>
      </c>
      <c r="G37" s="36" t="s">
        <v>160</v>
      </c>
      <c r="H37" s="33"/>
      <c r="I37" s="33"/>
      <c r="J37" s="33"/>
      <c r="K37" s="33"/>
      <c r="L37" s="33"/>
    </row>
    <row r="38" customFormat="false" ht="15" hidden="false" customHeight="false" outlineLevel="0" collapsed="false">
      <c r="A38" s="36" t="s">
        <v>161</v>
      </c>
      <c r="B38" s="43" t="n">
        <v>0.0165</v>
      </c>
      <c r="C38" s="44"/>
      <c r="D38" s="45" t="n">
        <f aca="false">IF(ISBLANK(C38),B38,C38)</f>
        <v>0.0165</v>
      </c>
      <c r="E38" s="36" t="s">
        <v>108</v>
      </c>
      <c r="F38" s="36" t="s">
        <v>121</v>
      </c>
      <c r="G38" s="36" t="s">
        <v>162</v>
      </c>
      <c r="H38" s="33"/>
      <c r="I38" s="33"/>
      <c r="J38" s="33"/>
      <c r="K38" s="33"/>
      <c r="L38" s="33"/>
    </row>
    <row r="39" customFormat="false" ht="15" hidden="false" customHeight="false" outlineLevel="0" collapsed="false">
      <c r="A39" s="36" t="s">
        <v>163</v>
      </c>
      <c r="B39" s="43" t="n">
        <v>0.024</v>
      </c>
      <c r="C39" s="44"/>
      <c r="D39" s="45" t="n">
        <f aca="false">IF(ISBLANK(C39),B39,C39)</f>
        <v>0.024</v>
      </c>
      <c r="E39" s="36" t="s">
        <v>108</v>
      </c>
      <c r="F39" s="36" t="s">
        <v>121</v>
      </c>
      <c r="G39" s="36" t="s">
        <v>164</v>
      </c>
      <c r="H39" s="33"/>
      <c r="I39" s="33"/>
      <c r="J39" s="33"/>
      <c r="K39" s="33"/>
      <c r="L39" s="33"/>
    </row>
    <row r="40" customFormat="false" ht="15" hidden="false" customHeight="false" outlineLevel="0" collapsed="false">
      <c r="A40" s="36" t="s">
        <v>165</v>
      </c>
      <c r="B40" s="43" t="n">
        <v>-0.07</v>
      </c>
      <c r="C40" s="44"/>
      <c r="D40" s="45" t="n">
        <f aca="false">IF(ISBLANK(C40),B40,C40)</f>
        <v>-0.07</v>
      </c>
      <c r="E40" s="36" t="s">
        <v>108</v>
      </c>
      <c r="F40" s="36" t="s">
        <v>121</v>
      </c>
      <c r="G40" s="36" t="s">
        <v>166</v>
      </c>
      <c r="H40" s="33"/>
      <c r="I40" s="33"/>
      <c r="J40" s="33"/>
      <c r="K40" s="33"/>
      <c r="L40" s="33"/>
    </row>
    <row r="41" customFormat="false" ht="15" hidden="false" customHeight="false" outlineLevel="0" collapsed="false">
      <c r="A41" s="36" t="s">
        <v>167</v>
      </c>
      <c r="B41" s="43" t="n">
        <v>0.2</v>
      </c>
      <c r="C41" s="44"/>
      <c r="D41" s="45" t="n">
        <f aca="false">IF(ISBLANK(C41),B41,C41)</f>
        <v>0.2</v>
      </c>
      <c r="E41" s="36" t="s">
        <v>108</v>
      </c>
      <c r="F41" s="36" t="s">
        <v>102</v>
      </c>
      <c r="G41" s="36" t="s">
        <v>168</v>
      </c>
      <c r="H41" s="33"/>
      <c r="I41" s="33"/>
      <c r="J41" s="33"/>
      <c r="K41" s="33"/>
      <c r="L41" s="33"/>
    </row>
    <row r="42" customFormat="false" ht="15" hidden="false" customHeight="false" outlineLevel="0" collapsed="false">
      <c r="A42" s="36" t="s">
        <v>169</v>
      </c>
      <c r="B42" s="37" t="n">
        <v>12</v>
      </c>
      <c r="C42" s="38"/>
      <c r="D42" s="39" t="n">
        <f aca="false">IF(ISBLANK(C42),B42,C42)</f>
        <v>12</v>
      </c>
      <c r="E42" s="36" t="s">
        <v>170</v>
      </c>
      <c r="F42" s="36" t="s">
        <v>102</v>
      </c>
      <c r="G42" s="36" t="s">
        <v>171</v>
      </c>
      <c r="H42" s="33"/>
      <c r="I42" s="33"/>
      <c r="J42" s="33"/>
      <c r="K42" s="33"/>
      <c r="L42" s="33"/>
    </row>
    <row r="43" customFormat="false" ht="15" hidden="false" customHeight="false" outlineLevel="0" collapsed="false">
      <c r="A43" s="36" t="s">
        <v>172</v>
      </c>
      <c r="B43" s="37" t="s">
        <v>173</v>
      </c>
      <c r="C43" s="38"/>
      <c r="D43" s="39" t="str">
        <f aca="false">IF(ISBLANK(C43),B43,C43)</f>
        <v>gordon</v>
      </c>
      <c r="E43" s="36"/>
      <c r="F43" s="36" t="s">
        <v>115</v>
      </c>
      <c r="G43" s="36"/>
      <c r="H43" s="33"/>
      <c r="I43" s="33"/>
      <c r="J43" s="33"/>
      <c r="K43" s="33"/>
      <c r="L43" s="33"/>
    </row>
    <row r="44" customFormat="false" ht="15" hidden="false" customHeight="false" outlineLevel="0" collapsed="false">
      <c r="A44" s="36" t="s">
        <v>174</v>
      </c>
      <c r="B44" s="40" t="n">
        <v>74000</v>
      </c>
      <c r="C44" s="41"/>
      <c r="D44" s="42" t="n">
        <f aca="false">IF(ISBLANK(C44),B44,C44)</f>
        <v>74000</v>
      </c>
      <c r="E44" s="36" t="s">
        <v>153</v>
      </c>
      <c r="F44" s="36" t="s">
        <v>96</v>
      </c>
      <c r="G44" s="36" t="s">
        <v>175</v>
      </c>
      <c r="H44" s="33"/>
      <c r="I44" s="33"/>
      <c r="J44" s="33"/>
      <c r="K44" s="33"/>
      <c r="L44" s="33"/>
    </row>
    <row r="45" customFormat="false" ht="15" hidden="false" customHeight="false" outlineLevel="0" collapsed="false">
      <c r="A45" s="36" t="s">
        <v>176</v>
      </c>
      <c r="B45" s="40" t="n">
        <v>40000</v>
      </c>
      <c r="C45" s="41"/>
      <c r="D45" s="42" t="n">
        <f aca="false">IF(ISBLANK(C45),B45,C45)</f>
        <v>40000</v>
      </c>
      <c r="E45" s="36" t="s">
        <v>153</v>
      </c>
      <c r="F45" s="36" t="s">
        <v>102</v>
      </c>
      <c r="G45" s="36" t="s">
        <v>177</v>
      </c>
      <c r="H45" s="33"/>
      <c r="I45" s="33"/>
      <c r="J45" s="33"/>
      <c r="K45" s="33"/>
      <c r="L45" s="33"/>
    </row>
    <row r="46" customFormat="false" ht="15" hidden="false" customHeight="false" outlineLevel="0" collapsed="false">
      <c r="A46" s="36" t="s">
        <v>178</v>
      </c>
      <c r="B46" s="40" t="n">
        <v>19300</v>
      </c>
      <c r="C46" s="41"/>
      <c r="D46" s="42" t="n">
        <f aca="false">IF(ISBLANK(C46),B46,C46)</f>
        <v>19300</v>
      </c>
      <c r="E46" s="36" t="s">
        <v>153</v>
      </c>
      <c r="F46" s="36" t="s">
        <v>102</v>
      </c>
      <c r="G46" s="36" t="s">
        <v>179</v>
      </c>
      <c r="H46" s="33"/>
      <c r="I46" s="33"/>
      <c r="J46" s="33"/>
      <c r="K46" s="33"/>
      <c r="L46" s="33"/>
    </row>
    <row r="47" customFormat="false" ht="15" hidden="false" customHeight="false" outlineLevel="0" collapsed="false">
      <c r="A47" s="36" t="s">
        <v>180</v>
      </c>
      <c r="B47" s="40" t="n">
        <v>51100</v>
      </c>
      <c r="C47" s="41"/>
      <c r="D47" s="42" t="n">
        <f aca="false">IF(ISBLANK(C47),B47,C47)</f>
        <v>51100</v>
      </c>
      <c r="E47" s="36" t="s">
        <v>153</v>
      </c>
      <c r="F47" s="36" t="s">
        <v>102</v>
      </c>
      <c r="G47" s="36" t="s">
        <v>181</v>
      </c>
      <c r="H47" s="33"/>
      <c r="I47" s="33"/>
      <c r="J47" s="33"/>
      <c r="K47" s="33"/>
      <c r="L47" s="33"/>
    </row>
    <row r="48" customFormat="false" ht="15" hidden="false" customHeight="false" outlineLevel="0" collapsed="false">
      <c r="A48" s="36" t="s">
        <v>182</v>
      </c>
      <c r="B48" s="40" t="n">
        <v>7000</v>
      </c>
      <c r="C48" s="41"/>
      <c r="D48" s="42" t="n">
        <f aca="false">IF(ISBLANK(C48),B48,C48)</f>
        <v>7000</v>
      </c>
      <c r="E48" s="36" t="s">
        <v>153</v>
      </c>
      <c r="F48" s="36" t="s">
        <v>102</v>
      </c>
      <c r="G48" s="36" t="s">
        <v>183</v>
      </c>
      <c r="H48" s="33"/>
      <c r="I48" s="33"/>
      <c r="J48" s="33"/>
      <c r="K48" s="33"/>
      <c r="L48" s="33"/>
    </row>
    <row r="49" customFormat="false" ht="15" hidden="false" customHeight="false" outlineLevel="0" collapsed="false">
      <c r="A49" s="36" t="s">
        <v>184</v>
      </c>
      <c r="B49" s="40" t="n">
        <v>600</v>
      </c>
      <c r="C49" s="41"/>
      <c r="D49" s="42" t="n">
        <f aca="false">IF(ISBLANK(C49),B49,C49)</f>
        <v>600</v>
      </c>
      <c r="E49" s="36" t="s">
        <v>153</v>
      </c>
      <c r="F49" s="36" t="s">
        <v>102</v>
      </c>
      <c r="G49" s="36" t="s">
        <v>185</v>
      </c>
      <c r="H49" s="33"/>
      <c r="I49" s="33"/>
      <c r="J49" s="33"/>
      <c r="K49" s="33"/>
      <c r="L49" s="33"/>
    </row>
    <row r="50" customFormat="false" ht="15" hidden="false" customHeight="false" outlineLevel="0" collapsed="false">
      <c r="A50" s="34" t="s">
        <v>186</v>
      </c>
      <c r="B50" s="35"/>
      <c r="C50" s="35"/>
      <c r="D50" s="35"/>
      <c r="E50" s="35"/>
      <c r="F50" s="35"/>
      <c r="G50" s="35"/>
      <c r="H50" s="33"/>
      <c r="I50" s="33"/>
      <c r="J50" s="33"/>
      <c r="K50" s="33"/>
      <c r="L50" s="33"/>
    </row>
    <row r="51" customFormat="false" ht="15" hidden="false" customHeight="false" outlineLevel="0" collapsed="false">
      <c r="A51" s="36" t="s">
        <v>187</v>
      </c>
      <c r="B51" s="40" t="n">
        <v>11569</v>
      </c>
      <c r="C51" s="41"/>
      <c r="D51" s="42" t="n">
        <f aca="false">IF(ISBLANK(C51),B51,C51)</f>
        <v>11569</v>
      </c>
      <c r="E51" s="36" t="s">
        <v>153</v>
      </c>
      <c r="F51" s="36" t="s">
        <v>96</v>
      </c>
      <c r="G51" s="36" t="s">
        <v>188</v>
      </c>
      <c r="H51" s="33"/>
      <c r="I51" s="33"/>
      <c r="J51" s="33"/>
      <c r="K51" s="33"/>
      <c r="L51" s="33"/>
    </row>
    <row r="52" customFormat="false" ht="15" hidden="false" customHeight="false" outlineLevel="0" collapsed="false">
      <c r="A52" s="36" t="s">
        <v>189</v>
      </c>
      <c r="B52" s="40" t="n">
        <v>24848</v>
      </c>
      <c r="C52" s="41"/>
      <c r="D52" s="42" t="n">
        <f aca="false">IF(ISBLANK(C52),B52,C52)</f>
        <v>24848</v>
      </c>
      <c r="E52" s="36" t="s">
        <v>153</v>
      </c>
      <c r="F52" s="36" t="s">
        <v>121</v>
      </c>
      <c r="G52" s="36" t="s">
        <v>190</v>
      </c>
      <c r="H52" s="33"/>
      <c r="I52" s="33"/>
      <c r="J52" s="33"/>
      <c r="K52" s="33"/>
      <c r="L52" s="33"/>
    </row>
    <row r="53" customFormat="false" ht="15" hidden="false" customHeight="false" outlineLevel="0" collapsed="false">
      <c r="A53" s="36" t="s">
        <v>191</v>
      </c>
      <c r="B53" s="40" t="n">
        <v>727</v>
      </c>
      <c r="C53" s="41"/>
      <c r="D53" s="42" t="n">
        <f aca="false">IF(ISBLANK(C53),B53,C53)</f>
        <v>727</v>
      </c>
      <c r="E53" s="36" t="s">
        <v>153</v>
      </c>
      <c r="F53" s="36" t="s">
        <v>96</v>
      </c>
      <c r="G53" s="36" t="s">
        <v>192</v>
      </c>
      <c r="H53" s="33"/>
      <c r="I53" s="33"/>
      <c r="J53" s="33"/>
      <c r="K53" s="33"/>
      <c r="L53" s="33"/>
    </row>
    <row r="54" customFormat="false" ht="15" hidden="false" customHeight="false" outlineLevel="0" collapsed="false">
      <c r="A54" s="36" t="s">
        <v>193</v>
      </c>
      <c r="B54" s="40" t="n">
        <v>0</v>
      </c>
      <c r="C54" s="41"/>
      <c r="D54" s="42" t="n">
        <f aca="false">IF(ISBLANK(C54),B54,C54)</f>
        <v>0</v>
      </c>
      <c r="E54" s="36" t="s">
        <v>153</v>
      </c>
      <c r="F54" s="36" t="s">
        <v>102</v>
      </c>
      <c r="G54" s="36" t="s">
        <v>194</v>
      </c>
      <c r="H54" s="33"/>
      <c r="I54" s="33"/>
      <c r="J54" s="33"/>
      <c r="K54" s="33"/>
      <c r="L54" s="33"/>
    </row>
    <row r="55" customFormat="false" ht="15" hidden="false" customHeight="false" outlineLevel="0" collapsed="false">
      <c r="A55" s="36" t="s">
        <v>195</v>
      </c>
      <c r="B55" s="40" t="n">
        <v>0</v>
      </c>
      <c r="C55" s="41"/>
      <c r="D55" s="42" t="n">
        <f aca="false">IF(ISBLANK(C55),B55,C55)</f>
        <v>0</v>
      </c>
      <c r="E55" s="36" t="s">
        <v>153</v>
      </c>
      <c r="F55" s="36" t="s">
        <v>102</v>
      </c>
      <c r="G55" s="36" t="s">
        <v>194</v>
      </c>
      <c r="H55" s="33"/>
      <c r="I55" s="33"/>
      <c r="J55" s="33"/>
      <c r="K55" s="33"/>
      <c r="L55" s="33"/>
    </row>
    <row r="56" customFormat="false" ht="15" hidden="false" customHeight="false" outlineLevel="0" collapsed="false">
      <c r="A56" s="36" t="s">
        <v>196</v>
      </c>
      <c r="B56" s="40" t="n">
        <v>0</v>
      </c>
      <c r="C56" s="41"/>
      <c r="D56" s="42" t="n">
        <f aca="false">IF(ISBLANK(C56),B56,C56)</f>
        <v>0</v>
      </c>
      <c r="E56" s="36" t="s">
        <v>153</v>
      </c>
      <c r="F56" s="36" t="s">
        <v>102</v>
      </c>
      <c r="G56" s="36" t="s">
        <v>197</v>
      </c>
      <c r="H56" s="33"/>
      <c r="I56" s="33"/>
      <c r="J56" s="33"/>
      <c r="K56" s="33"/>
      <c r="L56" s="33"/>
    </row>
    <row r="57" customFormat="false" ht="15" hidden="false" customHeight="false" outlineLevel="0" collapsed="false">
      <c r="A57" s="36" t="s">
        <v>198</v>
      </c>
      <c r="B57" s="40" t="n">
        <v>1730</v>
      </c>
      <c r="C57" s="41"/>
      <c r="D57" s="42" t="n">
        <f aca="false">IF(ISBLANK(C57),B57,C57)</f>
        <v>1730</v>
      </c>
      <c r="E57" s="36" t="s">
        <v>153</v>
      </c>
      <c r="F57" s="36" t="s">
        <v>96</v>
      </c>
      <c r="G57" s="36" t="s">
        <v>199</v>
      </c>
      <c r="H57" s="33"/>
      <c r="I57" s="33"/>
      <c r="J57" s="33"/>
      <c r="K57" s="33"/>
      <c r="L57" s="33"/>
    </row>
    <row r="58" customFormat="false" ht="15" hidden="false" customHeight="false" outlineLevel="0" collapsed="false">
      <c r="A58" s="36" t="s">
        <v>200</v>
      </c>
      <c r="B58" s="40" t="n">
        <v>0</v>
      </c>
      <c r="C58" s="41"/>
      <c r="D58" s="42" t="n">
        <f aca="false">IF(ISBLANK(C58),B58,C58)</f>
        <v>0</v>
      </c>
      <c r="E58" s="36" t="s">
        <v>153</v>
      </c>
      <c r="F58" s="36" t="s">
        <v>96</v>
      </c>
      <c r="G58" s="36" t="s">
        <v>201</v>
      </c>
      <c r="H58" s="33"/>
      <c r="I58" s="33"/>
      <c r="J58" s="33"/>
      <c r="K58" s="33"/>
      <c r="L58"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3"/>
    <col collapsed="false" customWidth="true" hidden="false" outlineLevel="0" max="5" min="4" style="0" width="12"/>
    <col collapsed="false" customWidth="true" hidden="false" outlineLevel="0" max="6" min="6" style="0" width="80"/>
    <col collapsed="false" customWidth="true" hidden="false" outlineLevel="0" max="12" min="7" style="0" width="12"/>
  </cols>
  <sheetData>
    <row r="1" customFormat="false" ht="25.5" hidden="false" customHeight="true" outlineLevel="0" collapsed="false">
      <c r="A1" s="25" t="s">
        <v>46</v>
      </c>
      <c r="B1" s="26"/>
      <c r="C1" s="49" t="str">
        <f aca="false">"Scenario: "&amp;scen_name&amp;"  ·  switch on Dashboard"</f>
        <v>Scenario: Base  ·  switch on Dashboard</v>
      </c>
      <c r="D1" s="26"/>
      <c r="E1" s="26"/>
      <c r="F1" s="26"/>
      <c r="G1" s="1"/>
      <c r="H1" s="1"/>
      <c r="I1" s="1"/>
      <c r="J1" s="1"/>
      <c r="K1" s="1"/>
      <c r="L1" s="1"/>
    </row>
    <row r="2" customFormat="false" ht="15.75" hidden="false" customHeight="true" outlineLevel="0" collapsed="false">
      <c r="A2" s="27" t="s">
        <v>202</v>
      </c>
      <c r="B2" s="28"/>
      <c r="C2" s="28"/>
      <c r="D2" s="28"/>
      <c r="E2" s="28"/>
      <c r="F2" s="28"/>
      <c r="G2" s="29"/>
      <c r="H2" s="29"/>
      <c r="I2" s="29"/>
      <c r="J2" s="29"/>
      <c r="K2" s="29"/>
      <c r="L2" s="29"/>
    </row>
    <row r="3" customFormat="false" ht="15" hidden="false" customHeight="false" outlineLevel="0" collapsed="false">
      <c r="A3" s="30"/>
      <c r="B3" s="30"/>
      <c r="C3" s="30"/>
      <c r="D3" s="30"/>
      <c r="E3" s="30"/>
      <c r="F3" s="30"/>
    </row>
    <row r="4" customFormat="false" ht="15" hidden="false" customHeight="false" outlineLevel="0" collapsed="false">
      <c r="A4" s="31" t="s">
        <v>203</v>
      </c>
      <c r="B4" s="32" t="s">
        <v>204</v>
      </c>
      <c r="C4" s="32" t="s">
        <v>7</v>
      </c>
      <c r="D4" s="32" t="s">
        <v>205</v>
      </c>
      <c r="E4" s="32" t="s">
        <v>206</v>
      </c>
      <c r="F4" s="32" t="s">
        <v>207</v>
      </c>
      <c r="G4" s="33"/>
      <c r="H4" s="33"/>
      <c r="I4" s="33"/>
      <c r="J4" s="33"/>
      <c r="K4" s="33"/>
      <c r="L4" s="33"/>
    </row>
    <row r="5" customFormat="false" ht="15" hidden="false" customHeight="false" outlineLevel="0" collapsed="false">
      <c r="A5" s="36" t="s">
        <v>208</v>
      </c>
      <c r="B5" s="50" t="n">
        <v>0.1</v>
      </c>
      <c r="C5" s="50" t="n">
        <v>0.45</v>
      </c>
      <c r="D5" s="50" t="n">
        <v>0.65</v>
      </c>
      <c r="E5" s="51" t="n">
        <f aca="false">CHOOSE(scen_sel,B5,C5,D5)</f>
        <v>0.45</v>
      </c>
      <c r="F5" s="52" t="s">
        <v>209</v>
      </c>
      <c r="G5" s="33"/>
      <c r="H5" s="33"/>
      <c r="I5" s="33"/>
      <c r="J5" s="33"/>
      <c r="K5" s="33"/>
      <c r="L5" s="33"/>
    </row>
    <row r="6" customFormat="false" ht="15" hidden="false" customHeight="false" outlineLevel="0" collapsed="false">
      <c r="A6" s="36" t="s">
        <v>210</v>
      </c>
      <c r="B6" s="50" t="n">
        <v>-0.1</v>
      </c>
      <c r="C6" s="50" t="n">
        <v>0.2</v>
      </c>
      <c r="D6" s="50" t="n">
        <v>0.3</v>
      </c>
      <c r="E6" s="51" t="n">
        <f aca="false">CHOOSE(scen_sel,B6,C6,D6)</f>
        <v>0.2</v>
      </c>
      <c r="F6" s="52" t="s">
        <v>211</v>
      </c>
      <c r="G6" s="33"/>
      <c r="H6" s="33"/>
      <c r="I6" s="33"/>
      <c r="J6" s="33"/>
      <c r="K6" s="33"/>
      <c r="L6" s="33"/>
    </row>
    <row r="7" customFormat="false" ht="15" hidden="false" customHeight="false" outlineLevel="0" collapsed="false">
      <c r="A7" s="36" t="s">
        <v>212</v>
      </c>
      <c r="B7" s="50" t="n">
        <v>0</v>
      </c>
      <c r="C7" s="50" t="n">
        <v>0.12</v>
      </c>
      <c r="D7" s="50" t="n">
        <v>0.15</v>
      </c>
      <c r="E7" s="51" t="n">
        <f aca="false">CHOOSE(scen_sel,B7,C7,D7)</f>
        <v>0.12</v>
      </c>
      <c r="F7" s="52" t="s">
        <v>211</v>
      </c>
      <c r="G7" s="33"/>
      <c r="H7" s="33"/>
      <c r="I7" s="33"/>
      <c r="J7" s="33"/>
      <c r="K7" s="33"/>
      <c r="L7" s="33"/>
    </row>
    <row r="8" customFormat="false" ht="15" hidden="false" customHeight="false" outlineLevel="0" collapsed="false">
      <c r="A8" s="36" t="s">
        <v>213</v>
      </c>
      <c r="B8" s="50" t="n">
        <v>0.05</v>
      </c>
      <c r="C8" s="50" t="n">
        <v>0.08</v>
      </c>
      <c r="D8" s="50" t="n">
        <v>0.1</v>
      </c>
      <c r="E8" s="51" t="n">
        <f aca="false">CHOOSE(scen_sel,B8,C8,D8)</f>
        <v>0.08</v>
      </c>
      <c r="F8" s="52" t="s">
        <v>211</v>
      </c>
      <c r="G8" s="33"/>
      <c r="H8" s="33"/>
      <c r="I8" s="33"/>
      <c r="J8" s="33"/>
      <c r="K8" s="33"/>
      <c r="L8" s="33"/>
    </row>
    <row r="9" customFormat="false" ht="15" hidden="false" customHeight="false" outlineLevel="0" collapsed="false">
      <c r="A9" s="36" t="s">
        <v>214</v>
      </c>
      <c r="B9" s="50" t="n">
        <v>-0.15</v>
      </c>
      <c r="C9" s="50" t="n">
        <v>0</v>
      </c>
      <c r="D9" s="50" t="n">
        <v>0.05</v>
      </c>
      <c r="E9" s="51" t="n">
        <f aca="false">CHOOSE(scen_sel,B9,C9,D9)</f>
        <v>0</v>
      </c>
      <c r="F9" s="52" t="s">
        <v>209</v>
      </c>
      <c r="G9" s="33"/>
      <c r="H9" s="33"/>
      <c r="I9" s="33"/>
      <c r="J9" s="33"/>
      <c r="K9" s="33"/>
      <c r="L9" s="33"/>
    </row>
    <row r="10" customFormat="false" ht="15" hidden="false" customHeight="false" outlineLevel="0" collapsed="false">
      <c r="A10" s="36" t="s">
        <v>215</v>
      </c>
      <c r="B10" s="50" t="n">
        <v>-0.05</v>
      </c>
      <c r="C10" s="50" t="n">
        <v>-0.03</v>
      </c>
      <c r="D10" s="50" t="n">
        <v>0</v>
      </c>
      <c r="E10" s="51" t="n">
        <f aca="false">CHOOSE(scen_sel,B10,C10,D10)</f>
        <v>-0.03</v>
      </c>
      <c r="F10" s="52" t="s">
        <v>211</v>
      </c>
      <c r="G10" s="33"/>
      <c r="H10" s="33"/>
      <c r="I10" s="33"/>
      <c r="J10" s="33"/>
      <c r="K10" s="33"/>
      <c r="L10" s="33"/>
    </row>
    <row r="11" customFormat="false" ht="15" hidden="false" customHeight="false" outlineLevel="0" collapsed="false">
      <c r="A11" s="36" t="s">
        <v>216</v>
      </c>
      <c r="B11" s="50" t="n">
        <v>0</v>
      </c>
      <c r="C11" s="50" t="n">
        <v>0.02</v>
      </c>
      <c r="D11" s="50" t="n">
        <v>0.03</v>
      </c>
      <c r="E11" s="51" t="n">
        <f aca="false">CHOOSE(scen_sel,B11,C11,D11)</f>
        <v>0.02</v>
      </c>
      <c r="F11" s="52" t="s">
        <v>211</v>
      </c>
      <c r="G11" s="33"/>
      <c r="H11" s="33"/>
      <c r="I11" s="33"/>
      <c r="J11" s="33"/>
      <c r="K11" s="33"/>
      <c r="L11" s="33"/>
    </row>
    <row r="12" customFormat="false" ht="15" hidden="false" customHeight="false" outlineLevel="0" collapsed="false">
      <c r="A12" s="36" t="s">
        <v>217</v>
      </c>
      <c r="B12" s="50" t="n">
        <v>0.02</v>
      </c>
      <c r="C12" s="50" t="n">
        <v>0.03</v>
      </c>
      <c r="D12" s="50" t="n">
        <v>0.03</v>
      </c>
      <c r="E12" s="51" t="n">
        <f aca="false">CHOOSE(scen_sel,B12,C12,D12)</f>
        <v>0.03</v>
      </c>
      <c r="F12" s="52" t="s">
        <v>211</v>
      </c>
      <c r="G12" s="33"/>
      <c r="H12" s="33"/>
      <c r="I12" s="33"/>
      <c r="J12" s="33"/>
      <c r="K12" s="33"/>
      <c r="L12" s="33"/>
    </row>
    <row r="13" customFormat="false" ht="15" hidden="false" customHeight="false" outlineLevel="0" collapsed="false">
      <c r="A13" s="36" t="s">
        <v>218</v>
      </c>
      <c r="B13" s="50" t="n">
        <v>0.03</v>
      </c>
      <c r="C13" s="50" t="n">
        <v>0.06</v>
      </c>
      <c r="D13" s="50" t="n">
        <v>0.08</v>
      </c>
      <c r="E13" s="51" t="n">
        <f aca="false">CHOOSE(scen_sel,B13,C13,D13)</f>
        <v>0.06</v>
      </c>
      <c r="F13" s="52" t="s">
        <v>209</v>
      </c>
      <c r="G13" s="33"/>
      <c r="H13" s="33"/>
      <c r="I13" s="33"/>
      <c r="J13" s="33"/>
      <c r="K13" s="33"/>
      <c r="L13" s="33"/>
    </row>
    <row r="14" customFormat="false" ht="15" hidden="false" customHeight="false" outlineLevel="0" collapsed="false">
      <c r="A14" s="36" t="s">
        <v>219</v>
      </c>
      <c r="B14" s="50" t="n">
        <v>0.03</v>
      </c>
      <c r="C14" s="50" t="n">
        <v>0.05</v>
      </c>
      <c r="D14" s="50" t="n">
        <v>0.06</v>
      </c>
      <c r="E14" s="51" t="n">
        <f aca="false">CHOOSE(scen_sel,B14,C14,D14)</f>
        <v>0.05</v>
      </c>
      <c r="F14" s="52" t="s">
        <v>211</v>
      </c>
      <c r="G14" s="33"/>
      <c r="H14" s="33"/>
      <c r="I14" s="33"/>
      <c r="J14" s="33"/>
      <c r="K14" s="33"/>
      <c r="L14" s="33"/>
    </row>
    <row r="15" customFormat="false" ht="15" hidden="false" customHeight="false" outlineLevel="0" collapsed="false">
      <c r="A15" s="36" t="s">
        <v>220</v>
      </c>
      <c r="B15" s="50" t="n">
        <v>0.03</v>
      </c>
      <c r="C15" s="50" t="n">
        <v>0.04</v>
      </c>
      <c r="D15" s="50" t="n">
        <v>0.05</v>
      </c>
      <c r="E15" s="51" t="n">
        <f aca="false">CHOOSE(scen_sel,B15,C15,D15)</f>
        <v>0.04</v>
      </c>
      <c r="F15" s="52" t="s">
        <v>211</v>
      </c>
      <c r="G15" s="33"/>
      <c r="H15" s="33"/>
      <c r="I15" s="33"/>
      <c r="J15" s="33"/>
      <c r="K15" s="33"/>
      <c r="L15" s="33"/>
    </row>
    <row r="16" customFormat="false" ht="15" hidden="false" customHeight="false" outlineLevel="0" collapsed="false">
      <c r="A16" s="36" t="s">
        <v>221</v>
      </c>
      <c r="B16" s="50" t="n">
        <v>0.03</v>
      </c>
      <c r="C16" s="50" t="n">
        <v>0.03</v>
      </c>
      <c r="D16" s="50" t="n">
        <v>0.04</v>
      </c>
      <c r="E16" s="51" t="n">
        <f aca="false">CHOOSE(scen_sel,B16,C16,D16)</f>
        <v>0.03</v>
      </c>
      <c r="F16" s="52" t="s">
        <v>211</v>
      </c>
      <c r="G16" s="33"/>
      <c r="H16" s="33"/>
      <c r="I16" s="33"/>
      <c r="J16" s="33"/>
      <c r="K16" s="33"/>
      <c r="L16" s="33"/>
    </row>
    <row r="17" customFormat="false" ht="15" hidden="false" customHeight="false" outlineLevel="0" collapsed="false">
      <c r="A17" s="36" t="s">
        <v>222</v>
      </c>
      <c r="B17" s="50" t="n">
        <v>-0.05</v>
      </c>
      <c r="C17" s="50" t="n">
        <v>0.03</v>
      </c>
      <c r="D17" s="50" t="n">
        <v>0.04</v>
      </c>
      <c r="E17" s="51" t="n">
        <f aca="false">CHOOSE(scen_sel,B17,C17,D17)</f>
        <v>0.03</v>
      </c>
      <c r="F17" s="52" t="s">
        <v>209</v>
      </c>
      <c r="G17" s="33"/>
      <c r="H17" s="33"/>
      <c r="I17" s="33"/>
      <c r="J17" s="33"/>
      <c r="K17" s="33"/>
      <c r="L17" s="33"/>
    </row>
    <row r="18" customFormat="false" ht="15" hidden="false" customHeight="false" outlineLevel="0" collapsed="false">
      <c r="A18" s="36" t="s">
        <v>223</v>
      </c>
      <c r="B18" s="50" t="n">
        <v>0</v>
      </c>
      <c r="C18" s="50" t="n">
        <v>0.02</v>
      </c>
      <c r="D18" s="50" t="n">
        <v>0.03</v>
      </c>
      <c r="E18" s="51" t="n">
        <f aca="false">CHOOSE(scen_sel,B18,C18,D18)</f>
        <v>0.02</v>
      </c>
      <c r="F18" s="52" t="s">
        <v>211</v>
      </c>
      <c r="G18" s="33"/>
      <c r="H18" s="33"/>
      <c r="I18" s="33"/>
      <c r="J18" s="33"/>
      <c r="K18" s="33"/>
      <c r="L18" s="33"/>
    </row>
    <row r="19" customFormat="false" ht="15" hidden="false" customHeight="false" outlineLevel="0" collapsed="false">
      <c r="A19" s="36" t="s">
        <v>224</v>
      </c>
      <c r="B19" s="50" t="n">
        <v>0.02</v>
      </c>
      <c r="C19" s="50" t="n">
        <v>0.02</v>
      </c>
      <c r="D19" s="50" t="n">
        <v>0.03</v>
      </c>
      <c r="E19" s="51" t="n">
        <f aca="false">CHOOSE(scen_sel,B19,C19,D19)</f>
        <v>0.02</v>
      </c>
      <c r="F19" s="52" t="s">
        <v>211</v>
      </c>
      <c r="G19" s="33"/>
      <c r="H19" s="33"/>
      <c r="I19" s="33"/>
      <c r="J19" s="33"/>
      <c r="K19" s="33"/>
      <c r="L19" s="33"/>
    </row>
    <row r="20" customFormat="false" ht="15" hidden="false" customHeight="false" outlineLevel="0" collapsed="false">
      <c r="A20" s="36" t="s">
        <v>225</v>
      </c>
      <c r="B20" s="50" t="n">
        <v>0.02</v>
      </c>
      <c r="C20" s="50" t="n">
        <v>0.02</v>
      </c>
      <c r="D20" s="50" t="n">
        <v>0.03</v>
      </c>
      <c r="E20" s="51" t="n">
        <f aca="false">CHOOSE(scen_sel,B20,C20,D20)</f>
        <v>0.02</v>
      </c>
      <c r="F20" s="52" t="s">
        <v>211</v>
      </c>
      <c r="G20" s="33"/>
      <c r="H20" s="33"/>
      <c r="I20" s="33"/>
      <c r="J20" s="33"/>
      <c r="K20" s="33"/>
      <c r="L20" s="33"/>
    </row>
    <row r="21" customFormat="false" ht="15" hidden="false" customHeight="false" outlineLevel="0" collapsed="false">
      <c r="A21" s="36" t="s">
        <v>226</v>
      </c>
      <c r="B21" s="50" t="n">
        <v>-0.05</v>
      </c>
      <c r="C21" s="50" t="n">
        <v>0</v>
      </c>
      <c r="D21" s="50" t="n">
        <v>0.02</v>
      </c>
      <c r="E21" s="51" t="n">
        <f aca="false">CHOOSE(scen_sel,B21,C21,D21)</f>
        <v>0</v>
      </c>
      <c r="F21" s="52" t="s">
        <v>209</v>
      </c>
      <c r="G21" s="33"/>
      <c r="H21" s="33"/>
      <c r="I21" s="33"/>
      <c r="J21" s="33"/>
      <c r="K21" s="33"/>
      <c r="L21" s="33"/>
    </row>
    <row r="22" customFormat="false" ht="15" hidden="false" customHeight="false" outlineLevel="0" collapsed="false">
      <c r="A22" s="36" t="s">
        <v>227</v>
      </c>
      <c r="B22" s="50" t="n">
        <v>0</v>
      </c>
      <c r="C22" s="50" t="n">
        <v>0</v>
      </c>
      <c r="D22" s="50" t="n">
        <v>0.02</v>
      </c>
      <c r="E22" s="51" t="n">
        <f aca="false">CHOOSE(scen_sel,B22,C22,D22)</f>
        <v>0</v>
      </c>
      <c r="F22" s="52" t="s">
        <v>211</v>
      </c>
      <c r="G22" s="33"/>
      <c r="H22" s="33"/>
      <c r="I22" s="33"/>
      <c r="J22" s="33"/>
      <c r="K22" s="33"/>
      <c r="L22" s="33"/>
    </row>
    <row r="23" customFormat="false" ht="15" hidden="false" customHeight="false" outlineLevel="0" collapsed="false">
      <c r="A23" s="36" t="s">
        <v>228</v>
      </c>
      <c r="B23" s="50" t="n">
        <v>0</v>
      </c>
      <c r="C23" s="50" t="n">
        <v>0</v>
      </c>
      <c r="D23" s="50" t="n">
        <v>0.02</v>
      </c>
      <c r="E23" s="51" t="n">
        <f aca="false">CHOOSE(scen_sel,B23,C23,D23)</f>
        <v>0</v>
      </c>
      <c r="F23" s="52" t="s">
        <v>211</v>
      </c>
      <c r="G23" s="33"/>
      <c r="H23" s="33"/>
      <c r="I23" s="33"/>
      <c r="J23" s="33"/>
      <c r="K23" s="33"/>
      <c r="L23" s="33"/>
    </row>
    <row r="24" customFormat="false" ht="15" hidden="false" customHeight="false" outlineLevel="0" collapsed="false">
      <c r="A24" s="36" t="s">
        <v>229</v>
      </c>
      <c r="B24" s="50" t="n">
        <v>0</v>
      </c>
      <c r="C24" s="50" t="n">
        <v>0</v>
      </c>
      <c r="D24" s="50" t="n">
        <v>0.02</v>
      </c>
      <c r="E24" s="51" t="n">
        <f aca="false">CHOOSE(scen_sel,B24,C24,D24)</f>
        <v>0</v>
      </c>
      <c r="F24" s="52" t="s">
        <v>211</v>
      </c>
      <c r="G24" s="33"/>
      <c r="H24" s="33"/>
      <c r="I24" s="33"/>
      <c r="J24" s="33"/>
      <c r="K24" s="33"/>
      <c r="L24" s="33"/>
    </row>
    <row r="25" customFormat="false" ht="15" hidden="false" customHeight="false" outlineLevel="0" collapsed="false">
      <c r="A25" s="36" t="s">
        <v>230</v>
      </c>
      <c r="B25" s="50" t="n">
        <v>0</v>
      </c>
      <c r="C25" s="50" t="n">
        <v>0</v>
      </c>
      <c r="D25" s="50" t="n">
        <v>0</v>
      </c>
      <c r="E25" s="51" t="n">
        <f aca="false">CHOOSE(scen_sel,B25,C25,D25)</f>
        <v>0</v>
      </c>
      <c r="F25" s="52" t="s">
        <v>209</v>
      </c>
      <c r="G25" s="33"/>
      <c r="H25" s="33"/>
      <c r="I25" s="33"/>
      <c r="J25" s="33"/>
      <c r="K25" s="33"/>
      <c r="L25" s="33"/>
    </row>
    <row r="26" customFormat="false" ht="15" hidden="false" customHeight="false" outlineLevel="0" collapsed="false">
      <c r="A26" s="36" t="s">
        <v>231</v>
      </c>
      <c r="B26" s="50" t="n">
        <v>0</v>
      </c>
      <c r="C26" s="50" t="n">
        <v>0</v>
      </c>
      <c r="D26" s="50" t="n">
        <v>0</v>
      </c>
      <c r="E26" s="51" t="n">
        <f aca="false">CHOOSE(scen_sel,B26,C26,D26)</f>
        <v>0</v>
      </c>
      <c r="F26" s="52" t="s">
        <v>211</v>
      </c>
      <c r="G26" s="33"/>
      <c r="H26" s="33"/>
      <c r="I26" s="33"/>
      <c r="J26" s="33"/>
      <c r="K26" s="33"/>
      <c r="L26" s="33"/>
    </row>
    <row r="27" customFormat="false" ht="15" hidden="false" customHeight="false" outlineLevel="0" collapsed="false">
      <c r="A27" s="36" t="s">
        <v>232</v>
      </c>
      <c r="B27" s="50" t="n">
        <v>0</v>
      </c>
      <c r="C27" s="50" t="n">
        <v>0</v>
      </c>
      <c r="D27" s="50" t="n">
        <v>0</v>
      </c>
      <c r="E27" s="51" t="n">
        <f aca="false">CHOOSE(scen_sel,B27,C27,D27)</f>
        <v>0</v>
      </c>
      <c r="F27" s="52" t="s">
        <v>211</v>
      </c>
      <c r="G27" s="33"/>
      <c r="H27" s="33"/>
      <c r="I27" s="33"/>
      <c r="J27" s="33"/>
      <c r="K27" s="33"/>
      <c r="L27" s="33"/>
    </row>
    <row r="28" customFormat="false" ht="15" hidden="false" customHeight="false" outlineLevel="0" collapsed="false">
      <c r="A28" s="36" t="s">
        <v>233</v>
      </c>
      <c r="B28" s="50" t="n">
        <v>0</v>
      </c>
      <c r="C28" s="50" t="n">
        <v>0</v>
      </c>
      <c r="D28" s="50" t="n">
        <v>0</v>
      </c>
      <c r="E28" s="51" t="n">
        <f aca="false">CHOOSE(scen_sel,B28,C28,D28)</f>
        <v>0</v>
      </c>
      <c r="F28" s="52" t="s">
        <v>211</v>
      </c>
      <c r="G28" s="33"/>
      <c r="H28" s="33"/>
      <c r="I28" s="33"/>
      <c r="J28" s="33"/>
      <c r="K28" s="33"/>
      <c r="L28" s="33"/>
    </row>
    <row r="29" customFormat="false" ht="15" hidden="false" customHeight="false" outlineLevel="0" collapsed="false">
      <c r="A29" s="36" t="s">
        <v>234</v>
      </c>
      <c r="B29" s="50" t="n">
        <v>0.09</v>
      </c>
      <c r="C29" s="50" t="n">
        <v>0.09</v>
      </c>
      <c r="D29" s="50" t="n">
        <v>0.09</v>
      </c>
      <c r="E29" s="51" t="n">
        <f aca="false">CHOOSE(scen_sel,B29,C29,D29)</f>
        <v>0.09</v>
      </c>
      <c r="F29" s="52" t="s">
        <v>235</v>
      </c>
      <c r="G29" s="33"/>
      <c r="H29" s="33"/>
      <c r="I29" s="33"/>
      <c r="J29" s="33"/>
      <c r="K29" s="33"/>
      <c r="L29" s="33"/>
    </row>
    <row r="30" customFormat="false" ht="15" hidden="false" customHeight="false" outlineLevel="0" collapsed="false">
      <c r="A30" s="36" t="s">
        <v>236</v>
      </c>
      <c r="B30" s="50" t="n">
        <v>0.06</v>
      </c>
      <c r="C30" s="50" t="n">
        <v>0.08</v>
      </c>
      <c r="D30" s="50" t="n">
        <v>0.1</v>
      </c>
      <c r="E30" s="51" t="n">
        <f aca="false">CHOOSE(scen_sel,B30,C30,D30)</f>
        <v>0.08</v>
      </c>
      <c r="F30" s="52" t="s">
        <v>237</v>
      </c>
      <c r="G30" s="33"/>
      <c r="H30" s="33"/>
      <c r="I30" s="33"/>
      <c r="J30" s="33"/>
      <c r="K30" s="33"/>
      <c r="L30" s="33"/>
    </row>
    <row r="31" customFormat="false" ht="15" hidden="false" customHeight="false" outlineLevel="0" collapsed="false">
      <c r="A31" s="36" t="s">
        <v>238</v>
      </c>
      <c r="B31" s="50" t="n">
        <v>0.17</v>
      </c>
      <c r="C31" s="50" t="n">
        <v>0.17</v>
      </c>
      <c r="D31" s="50" t="n">
        <v>0.17</v>
      </c>
      <c r="E31" s="51" t="n">
        <f aca="false">CHOOSE(scen_sel,B31,C31,D31)</f>
        <v>0.17</v>
      </c>
      <c r="F31" s="52" t="s">
        <v>235</v>
      </c>
      <c r="G31" s="33"/>
      <c r="H31" s="33"/>
      <c r="I31" s="33"/>
      <c r="J31" s="33"/>
      <c r="K31" s="33"/>
      <c r="L31" s="33"/>
    </row>
    <row r="32" customFormat="false" ht="15" hidden="false" customHeight="false" outlineLevel="0" collapsed="false">
      <c r="A32" s="36" t="s">
        <v>239</v>
      </c>
      <c r="B32" s="50" t="n">
        <v>0.12</v>
      </c>
      <c r="C32" s="50" t="n">
        <v>0.15</v>
      </c>
      <c r="D32" s="50" t="n">
        <v>0.17</v>
      </c>
      <c r="E32" s="51" t="n">
        <f aca="false">CHOOSE(scen_sel,B32,C32,D32)</f>
        <v>0.15</v>
      </c>
      <c r="F32" s="52" t="s">
        <v>237</v>
      </c>
      <c r="G32" s="33"/>
      <c r="H32" s="33"/>
      <c r="I32" s="33"/>
      <c r="J32" s="33"/>
      <c r="K32" s="33"/>
      <c r="L32" s="33"/>
    </row>
    <row r="33" customFormat="false" ht="15" hidden="false" customHeight="false" outlineLevel="0" collapsed="false">
      <c r="A33" s="36" t="s">
        <v>240</v>
      </c>
      <c r="B33" s="50" t="n">
        <v>0.077</v>
      </c>
      <c r="C33" s="50" t="n">
        <v>0.077</v>
      </c>
      <c r="D33" s="50" t="n">
        <v>0.077</v>
      </c>
      <c r="E33" s="51" t="n">
        <f aca="false">CHOOSE(scen_sel,B33,C33,D33)</f>
        <v>0.077</v>
      </c>
      <c r="F33" s="52" t="s">
        <v>235</v>
      </c>
      <c r="G33" s="33"/>
      <c r="H33" s="33"/>
      <c r="I33" s="33"/>
      <c r="J33" s="33"/>
      <c r="K33" s="33"/>
      <c r="L33" s="33"/>
    </row>
    <row r="34" customFormat="false" ht="15" hidden="false" customHeight="false" outlineLevel="0" collapsed="false">
      <c r="A34" s="36" t="s">
        <v>241</v>
      </c>
      <c r="B34" s="50" t="n">
        <v>0.05</v>
      </c>
      <c r="C34" s="50" t="n">
        <v>0.065</v>
      </c>
      <c r="D34" s="50" t="n">
        <v>0.075</v>
      </c>
      <c r="E34" s="51" t="n">
        <f aca="false">CHOOSE(scen_sel,B34,C34,D34)</f>
        <v>0.065</v>
      </c>
      <c r="F34" s="52" t="s">
        <v>237</v>
      </c>
      <c r="G34" s="33"/>
      <c r="H34" s="33"/>
      <c r="I34" s="33"/>
      <c r="J34" s="33"/>
      <c r="K34" s="33"/>
      <c r="L34"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B4"/>
    <pageSetUpPr fitToPage="true"/>
  </sheetPr>
  <dimension ref="A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3"/>
    <col collapsed="false" customWidth="true" hidden="false" outlineLevel="0" max="12" min="4" style="0" width="12"/>
    <col collapsed="false" customWidth="true" hidden="false" outlineLevel="0" max="15" min="13" style="0" width="13"/>
  </cols>
  <sheetData>
    <row r="1" customFormat="false" ht="25.5" hidden="false" customHeight="true" outlineLevel="0" collapsed="false">
      <c r="A1" s="25" t="s">
        <v>242</v>
      </c>
      <c r="B1" s="26"/>
      <c r="C1" s="49" t="str">
        <f aca="false">"Scenario: "&amp;scen_name&amp;"  ·  switch on Dashboard"</f>
        <v>Scenario: Base  ·  switch on Dashboard</v>
      </c>
      <c r="D1" s="26"/>
      <c r="E1" s="26"/>
      <c r="F1" s="26"/>
      <c r="G1" s="1"/>
      <c r="H1" s="1"/>
      <c r="I1" s="1"/>
      <c r="J1" s="1"/>
      <c r="K1" s="1"/>
      <c r="L1" s="1"/>
    </row>
    <row r="2" customFormat="false" ht="15.75" hidden="false" customHeight="true" outlineLevel="0" collapsed="false">
      <c r="A2" s="27" t="s">
        <v>243</v>
      </c>
      <c r="B2" s="28"/>
      <c r="C2" s="28"/>
      <c r="D2" s="28"/>
      <c r="E2" s="28"/>
      <c r="F2" s="28"/>
      <c r="G2" s="29"/>
      <c r="H2" s="29"/>
      <c r="I2" s="29"/>
      <c r="J2" s="29"/>
      <c r="K2" s="29"/>
      <c r="L2" s="29"/>
    </row>
    <row r="3" customFormat="false" ht="15" hidden="false" customHeight="false" outlineLevel="0" collapsed="false">
      <c r="A3" s="30"/>
      <c r="B3" s="30"/>
      <c r="C3" s="30"/>
      <c r="D3" s="30"/>
      <c r="E3" s="30"/>
      <c r="F3" s="30"/>
    </row>
    <row r="4" customFormat="false" ht="15" hidden="false" customHeight="false" outlineLevel="0" collapsed="false">
      <c r="A4" s="31" t="s">
        <v>244</v>
      </c>
      <c r="B4" s="32" t="s">
        <v>245</v>
      </c>
      <c r="C4" s="32" t="s">
        <v>246</v>
      </c>
      <c r="D4" s="32" t="s">
        <v>247</v>
      </c>
      <c r="E4" s="32" t="s">
        <v>248</v>
      </c>
      <c r="F4" s="35"/>
      <c r="G4" s="33"/>
      <c r="H4" s="33"/>
      <c r="I4" s="33"/>
      <c r="J4" s="33"/>
      <c r="K4" s="33"/>
      <c r="L4" s="33"/>
    </row>
    <row r="5" customFormat="false" ht="15" hidden="false" customHeight="false" outlineLevel="0" collapsed="false">
      <c r="A5" s="36" t="s">
        <v>249</v>
      </c>
      <c r="B5" s="40" t="n">
        <v>88425</v>
      </c>
      <c r="C5" s="40" t="n">
        <v>95567</v>
      </c>
      <c r="D5" s="40" t="n">
        <v>113538</v>
      </c>
      <c r="E5" s="40" t="n">
        <v>90811</v>
      </c>
      <c r="F5" s="35"/>
      <c r="G5" s="33"/>
      <c r="H5" s="33"/>
      <c r="I5" s="33"/>
      <c r="J5" s="33"/>
      <c r="K5" s="33"/>
      <c r="L5" s="33"/>
    </row>
    <row r="6" customFormat="false" ht="15" hidden="false" customHeight="false" outlineLevel="0" collapsed="false">
      <c r="A6" s="36" t="s">
        <v>250</v>
      </c>
      <c r="B6" s="40" t="n">
        <v>5411</v>
      </c>
      <c r="C6" s="40" t="n">
        <v>6237</v>
      </c>
      <c r="D6" s="40" t="n">
        <v>8149</v>
      </c>
      <c r="E6" s="40" t="n">
        <v>9046</v>
      </c>
      <c r="F6" s="35"/>
      <c r="G6" s="33"/>
      <c r="H6" s="33"/>
      <c r="I6" s="33"/>
      <c r="J6" s="33"/>
      <c r="K6" s="33"/>
      <c r="L6" s="33"/>
    </row>
    <row r="7" customFormat="false" ht="15" hidden="false" customHeight="false" outlineLevel="0" collapsed="false">
      <c r="A7" s="36" t="s">
        <v>251</v>
      </c>
      <c r="B7" s="40"/>
      <c r="C7" s="40" t="n">
        <v>8529</v>
      </c>
      <c r="D7" s="40" t="n">
        <v>9991</v>
      </c>
      <c r="E7" s="40"/>
      <c r="F7" s="35"/>
      <c r="G7" s="33"/>
      <c r="H7" s="33"/>
      <c r="I7" s="33"/>
      <c r="J7" s="33"/>
      <c r="K7" s="33"/>
      <c r="L7" s="33"/>
    </row>
    <row r="8" customFormat="false" ht="15" hidden="false" customHeight="false" outlineLevel="0" collapsed="false">
      <c r="A8" s="36" t="s">
        <v>252</v>
      </c>
      <c r="B8" s="40" t="n">
        <v>3388</v>
      </c>
      <c r="C8" s="40" t="n">
        <v>4592</v>
      </c>
      <c r="D8" s="40" t="n">
        <v>5936</v>
      </c>
      <c r="E8" s="40" t="n">
        <v>7571</v>
      </c>
      <c r="F8" s="35"/>
      <c r="G8" s="33"/>
      <c r="H8" s="33"/>
      <c r="I8" s="33"/>
      <c r="J8" s="33"/>
      <c r="K8" s="33"/>
      <c r="L8" s="33"/>
    </row>
    <row r="9" customFormat="false" ht="15" hidden="false" customHeight="false" outlineLevel="0" collapsed="false">
      <c r="A9" s="36" t="s">
        <v>253</v>
      </c>
      <c r="B9" s="37" t="n">
        <v>4.6</v>
      </c>
      <c r="C9" s="37" t="n">
        <v>6.38</v>
      </c>
      <c r="D9" s="37" t="n">
        <v>8.68</v>
      </c>
      <c r="E9" s="37" t="n">
        <v>11.58</v>
      </c>
      <c r="F9" s="35"/>
      <c r="G9" s="33"/>
      <c r="H9" s="33"/>
      <c r="I9" s="33"/>
      <c r="J9" s="33"/>
      <c r="K9" s="33"/>
      <c r="L9" s="33"/>
    </row>
    <row r="10" customFormat="false" ht="15" hidden="false" customHeight="false" outlineLevel="0" collapsed="false">
      <c r="A10" s="36" t="s">
        <v>254</v>
      </c>
      <c r="B10" s="37"/>
      <c r="C10" s="37" t="n">
        <v>8.14</v>
      </c>
      <c r="D10" s="37" t="n">
        <v>10.3</v>
      </c>
      <c r="E10" s="37" t="n">
        <v>11.9</v>
      </c>
      <c r="F10" s="35"/>
      <c r="G10" s="33"/>
      <c r="H10" s="33"/>
      <c r="I10" s="33"/>
      <c r="J10" s="33"/>
      <c r="K10" s="33"/>
      <c r="L10" s="33"/>
    </row>
    <row r="11" customFormat="false" ht="15" hidden="false" customHeight="false" outlineLevel="0" collapsed="false">
      <c r="A11" s="36" t="s">
        <v>255</v>
      </c>
      <c r="B11" s="40" t="n">
        <v>8676</v>
      </c>
      <c r="C11" s="40" t="n">
        <v>4521</v>
      </c>
      <c r="D11" s="40" t="n">
        <v>11185</v>
      </c>
      <c r="E11" s="40" t="n">
        <v>6306</v>
      </c>
      <c r="F11" s="35"/>
      <c r="G11" s="33"/>
      <c r="H11" s="33"/>
      <c r="I11" s="33"/>
      <c r="J11" s="33"/>
      <c r="K11" s="33"/>
      <c r="L11" s="33"/>
    </row>
    <row r="12" customFormat="false" ht="15" hidden="false" customHeight="false" outlineLevel="0" collapsed="false">
      <c r="A12" s="36" t="s">
        <v>256</v>
      </c>
      <c r="B12" s="40" t="n">
        <v>2756</v>
      </c>
      <c r="C12" s="40" t="n">
        <v>2652</v>
      </c>
      <c r="D12" s="40" t="n">
        <v>2633</v>
      </c>
      <c r="E12" s="40" t="n">
        <v>2202</v>
      </c>
      <c r="F12" s="35"/>
      <c r="G12" s="33"/>
      <c r="H12" s="33"/>
      <c r="I12" s="33"/>
      <c r="J12" s="33"/>
      <c r="K12" s="33"/>
      <c r="L12" s="33"/>
    </row>
    <row r="13" customFormat="false" ht="15" hidden="false" customHeight="false" outlineLevel="0" collapsed="false">
      <c r="A13" s="36" t="s">
        <v>257</v>
      </c>
      <c r="B13" s="40"/>
      <c r="C13" s="40" t="n">
        <v>3097</v>
      </c>
      <c r="D13" s="40" t="n">
        <v>11508</v>
      </c>
      <c r="E13" s="40" t="n">
        <v>11314</v>
      </c>
      <c r="F13" s="35"/>
      <c r="G13" s="33"/>
      <c r="H13" s="33"/>
      <c r="I13" s="33"/>
      <c r="J13" s="33"/>
      <c r="K13" s="33"/>
      <c r="L13" s="33"/>
    </row>
    <row r="14" customFormat="false" ht="15" hidden="false" customHeight="false" outlineLevel="0" collapsed="false">
      <c r="A14" s="36" t="s">
        <v>258</v>
      </c>
      <c r="B14" s="35"/>
      <c r="C14" s="53" t="n">
        <f aca="false">IF(AND(ISNUMBER(B5),ISNUMBER(C5)),C5/B5-1,"")</f>
        <v>0.0807690132880972</v>
      </c>
      <c r="D14" s="53" t="n">
        <f aca="false">IF(AND(ISNUMBER(C5),ISNUMBER(D5)),D5/C5-1,"")</f>
        <v>0.188046082852868</v>
      </c>
      <c r="E14" s="35"/>
      <c r="F14" s="35"/>
      <c r="G14" s="33"/>
      <c r="H14" s="33"/>
      <c r="I14" s="33"/>
      <c r="J14" s="33"/>
      <c r="K14" s="33"/>
      <c r="L14" s="33"/>
    </row>
    <row r="15" customFormat="false" ht="15" hidden="false" customHeight="false" outlineLevel="0" collapsed="false">
      <c r="A15" s="36" t="s">
        <v>259</v>
      </c>
      <c r="B15" s="53" t="n">
        <f aca="false">IF(AND(ISNUMBER(B6),ISNUMBER(B5)),B6/B5,"")</f>
        <v>0.061193101498445</v>
      </c>
      <c r="C15" s="53" t="n">
        <f aca="false">IF(AND(ISNUMBER(C6),ISNUMBER(C5)),C6/C5,"")</f>
        <v>0.0652631138363661</v>
      </c>
      <c r="D15" s="53" t="n">
        <f aca="false">IF(AND(ISNUMBER(D6),ISNUMBER(D5)),D6/D5,"")</f>
        <v>0.0717733269918442</v>
      </c>
      <c r="E15" s="53" t="n">
        <f aca="false">IF(AND(ISNUMBER(E6),ISNUMBER(E5)),E6/E5,"")</f>
        <v>0.099613482948101</v>
      </c>
      <c r="F15" s="35"/>
      <c r="G15" s="33"/>
      <c r="H15" s="33"/>
      <c r="I15" s="33"/>
      <c r="J15" s="33"/>
      <c r="K15" s="33"/>
      <c r="L15" s="33"/>
    </row>
    <row r="16" customFormat="false" ht="15" hidden="false" customHeight="false" outlineLevel="0" collapsed="false">
      <c r="A16" s="36" t="s">
        <v>260</v>
      </c>
      <c r="B16" s="53" t="n">
        <f aca="false">IF(AND(ISNUMBER(B8),ISNUMBER(B5)),B8/B5,"")</f>
        <v>0.0383149561775516</v>
      </c>
      <c r="C16" s="53" t="n">
        <f aca="false">IF(AND(ISNUMBER(C8),ISNUMBER(C5)),C8/C5,"")</f>
        <v>0.0480500591208262</v>
      </c>
      <c r="D16" s="53" t="n">
        <f aca="false">IF(AND(ISNUMBER(D8),ISNUMBER(D5)),D8/D5,"")</f>
        <v>0.0522820553471085</v>
      </c>
      <c r="E16" s="53" t="n">
        <f aca="false">IF(AND(ISNUMBER(E8),ISNUMBER(E5)),E8/E5,"")</f>
        <v>0.0833709572628867</v>
      </c>
      <c r="F16" s="35"/>
      <c r="G16" s="33"/>
      <c r="H16" s="33"/>
      <c r="I16" s="33"/>
      <c r="J16" s="33"/>
      <c r="K16" s="33"/>
      <c r="L16" s="33"/>
    </row>
    <row r="17" customFormat="false" ht="15" hidden="false" customHeight="false" outlineLevel="0" collapsed="false">
      <c r="A17" s="36" t="s">
        <v>261</v>
      </c>
      <c r="B17" s="53" t="n">
        <f aca="false">IF(AND(ISNUMBER(B11),ISNUMBER(B5)),B11/B5,"")</f>
        <v>0.098117048346056</v>
      </c>
      <c r="C17" s="53" t="n">
        <f aca="false">IF(AND(ISNUMBER(C11),ISNUMBER(C5)),C11/C5,"")</f>
        <v>0.04730712484435</v>
      </c>
      <c r="D17" s="53" t="n">
        <f aca="false">IF(AND(ISNUMBER(D11),ISNUMBER(D5)),D11/D5,"")</f>
        <v>0.098513273089186</v>
      </c>
      <c r="E17" s="53" t="n">
        <f aca="false">IF(AND(ISNUMBER(E11),ISNUMBER(E5)),E11/E5,"")</f>
        <v>0.069440926759974</v>
      </c>
      <c r="F17" s="35"/>
      <c r="G17" s="33"/>
      <c r="H17" s="33"/>
      <c r="I17" s="33"/>
      <c r="J17" s="33"/>
      <c r="K17" s="33"/>
      <c r="L17" s="33"/>
    </row>
    <row r="18" customFormat="false" ht="15" hidden="false" customHeight="false" outlineLevel="0" collapsed="false">
      <c r="A18" s="52" t="s">
        <v>262</v>
      </c>
      <c r="B18" s="35"/>
      <c r="C18" s="35"/>
      <c r="D18" s="35"/>
      <c r="E18" s="35"/>
      <c r="F18" s="35"/>
      <c r="G18" s="33"/>
      <c r="H18" s="33"/>
      <c r="I18" s="33"/>
      <c r="J18" s="33"/>
      <c r="K18" s="33"/>
      <c r="L18" s="33"/>
    </row>
    <row r="19" customFormat="false" ht="15" hidden="false" customHeight="false" outlineLevel="0" collapsed="false">
      <c r="A19" s="30"/>
      <c r="B19" s="30"/>
      <c r="C19" s="30"/>
      <c r="D19" s="30"/>
      <c r="E19" s="30"/>
      <c r="F19" s="30"/>
    </row>
    <row r="20" customFormat="false" ht="16.15" hidden="false" customHeight="false" outlineLevel="0" collapsed="false">
      <c r="A20" s="54" t="s">
        <v>263</v>
      </c>
      <c r="B20" s="35"/>
      <c r="C20" s="35"/>
      <c r="D20" s="35"/>
      <c r="E20" s="35"/>
      <c r="F20" s="35"/>
      <c r="G20" s="33"/>
      <c r="H20" s="33"/>
      <c r="I20" s="33"/>
      <c r="J20" s="33"/>
      <c r="K20" s="33"/>
      <c r="L20" s="33"/>
    </row>
    <row r="21" customFormat="false" ht="15" hidden="false" customHeight="false" outlineLevel="0" collapsed="false">
      <c r="A21" s="31" t="s">
        <v>264</v>
      </c>
      <c r="B21" s="32" t="s">
        <v>265</v>
      </c>
      <c r="C21" s="32" t="s">
        <v>245</v>
      </c>
      <c r="D21" s="32" t="s">
        <v>246</v>
      </c>
      <c r="E21" s="32" t="s">
        <v>247</v>
      </c>
      <c r="F21" s="35"/>
      <c r="G21" s="33"/>
      <c r="H21" s="33"/>
      <c r="I21" s="33"/>
      <c r="J21" s="33"/>
      <c r="K21" s="33"/>
      <c r="L21" s="33"/>
    </row>
    <row r="22" customFormat="false" ht="15" hidden="false" customHeight="false" outlineLevel="0" collapsed="false">
      <c r="A22" s="36" t="s">
        <v>249</v>
      </c>
      <c r="B22" s="40" t="n">
        <v>102301</v>
      </c>
      <c r="C22" s="40" t="n">
        <v>88425</v>
      </c>
      <c r="D22" s="40" t="n">
        <v>95567</v>
      </c>
      <c r="E22" s="40" t="n">
        <v>113538</v>
      </c>
      <c r="F22" s="35"/>
      <c r="G22" s="33"/>
      <c r="H22" s="33"/>
      <c r="I22" s="33"/>
      <c r="J22" s="33"/>
      <c r="K22" s="33"/>
      <c r="L22" s="33"/>
    </row>
    <row r="23" customFormat="false" ht="15" hidden="false" customHeight="false" outlineLevel="0" collapsed="false">
      <c r="A23" s="36" t="s">
        <v>266</v>
      </c>
      <c r="B23" s="40" t="n">
        <v>79615</v>
      </c>
      <c r="C23" s="40" t="n">
        <v>67356</v>
      </c>
      <c r="D23" s="40" t="n">
        <v>74317</v>
      </c>
      <c r="E23" s="40" t="n">
        <v>90831</v>
      </c>
      <c r="F23" s="35"/>
      <c r="G23" s="33"/>
      <c r="H23" s="33"/>
      <c r="I23" s="33"/>
      <c r="J23" s="33"/>
      <c r="K23" s="33"/>
      <c r="L23" s="33"/>
    </row>
    <row r="24" customFormat="false" ht="15" hidden="false" customHeight="false" outlineLevel="0" collapsed="false">
      <c r="A24" s="36" t="s">
        <v>267</v>
      </c>
      <c r="B24" s="40" t="n">
        <v>14136</v>
      </c>
      <c r="C24" s="40" t="n">
        <v>12335</v>
      </c>
      <c r="D24" s="40" t="n">
        <v>11533</v>
      </c>
      <c r="E24" s="40" t="n">
        <v>11119</v>
      </c>
      <c r="F24" s="35"/>
      <c r="G24" s="33"/>
      <c r="H24" s="33"/>
      <c r="I24" s="33"/>
      <c r="J24" s="33"/>
      <c r="K24" s="33"/>
      <c r="L24" s="33"/>
    </row>
    <row r="25" customFormat="false" ht="15" hidden="false" customHeight="false" outlineLevel="0" collapsed="false">
      <c r="A25" s="36" t="s">
        <v>268</v>
      </c>
      <c r="B25" s="40" t="n">
        <v>12482</v>
      </c>
      <c r="C25" s="40" t="n">
        <v>9343</v>
      </c>
      <c r="D25" s="40" t="n">
        <v>10298</v>
      </c>
      <c r="E25" s="40" t="n">
        <v>17585</v>
      </c>
      <c r="F25" s="35"/>
      <c r="G25" s="33"/>
      <c r="H25" s="33"/>
      <c r="I25" s="33"/>
      <c r="J25" s="33"/>
      <c r="K25" s="33"/>
      <c r="L25" s="33"/>
    </row>
    <row r="26" customFormat="false" ht="15" hidden="false" customHeight="false" outlineLevel="0" collapsed="false">
      <c r="A26" s="36" t="s">
        <v>269</v>
      </c>
      <c r="B26" s="40" t="n">
        <v>42351</v>
      </c>
      <c r="C26" s="40" t="n">
        <v>35984</v>
      </c>
      <c r="D26" s="40" t="n">
        <v>36229</v>
      </c>
      <c r="E26" s="40" t="n">
        <v>57602</v>
      </c>
      <c r="F26" s="35"/>
      <c r="G26" s="33"/>
      <c r="H26" s="33"/>
      <c r="I26" s="33"/>
      <c r="J26" s="33"/>
      <c r="K26" s="33"/>
      <c r="L26" s="33"/>
    </row>
    <row r="27" customFormat="false" ht="15" hidden="false" customHeight="false" outlineLevel="0" collapsed="false">
      <c r="A27" s="36" t="s">
        <v>270</v>
      </c>
      <c r="B27" s="40" t="n">
        <v>6209</v>
      </c>
      <c r="C27" s="40" t="n">
        <v>6432</v>
      </c>
      <c r="D27" s="40" t="n">
        <v>6336</v>
      </c>
      <c r="E27" s="40" t="n">
        <v>6676</v>
      </c>
      <c r="F27" s="35"/>
      <c r="G27" s="33"/>
      <c r="H27" s="33"/>
      <c r="I27" s="33"/>
      <c r="J27" s="33"/>
      <c r="K27" s="33"/>
      <c r="L27" s="33"/>
    </row>
    <row r="28" customFormat="false" ht="15" hidden="false" customHeight="false" outlineLevel="0" collapsed="false">
      <c r="A28" s="36" t="s">
        <v>271</v>
      </c>
      <c r="B28" s="40" t="n">
        <v>89611</v>
      </c>
      <c r="C28" s="40" t="n">
        <v>82126</v>
      </c>
      <c r="D28" s="40" t="n">
        <v>79746</v>
      </c>
      <c r="E28" s="40" t="n">
        <v>101286</v>
      </c>
      <c r="F28" s="35"/>
      <c r="G28" s="33"/>
      <c r="H28" s="33"/>
      <c r="I28" s="33"/>
      <c r="J28" s="33"/>
      <c r="K28" s="33"/>
      <c r="L28" s="33"/>
    </row>
    <row r="29" customFormat="false" ht="15" hidden="false" customHeight="false" outlineLevel="0" collapsed="false">
      <c r="A29" s="36" t="s">
        <v>272</v>
      </c>
      <c r="B29" s="40" t="n">
        <v>51654</v>
      </c>
      <c r="C29" s="40" t="n">
        <v>48354</v>
      </c>
      <c r="D29" s="40" t="n">
        <v>46527</v>
      </c>
      <c r="E29" s="40" t="n">
        <v>63269</v>
      </c>
      <c r="F29" s="35"/>
      <c r="G29" s="33"/>
      <c r="H29" s="33"/>
      <c r="I29" s="33"/>
      <c r="J29" s="33"/>
      <c r="K29" s="33"/>
      <c r="L29" s="33"/>
    </row>
    <row r="30" customFormat="false" ht="15" hidden="false" customHeight="false" outlineLevel="0" collapsed="false">
      <c r="A30" s="36" t="s">
        <v>273</v>
      </c>
      <c r="B30" s="40" t="n">
        <v>23015</v>
      </c>
      <c r="C30" s="40" t="n">
        <v>19012</v>
      </c>
      <c r="D30" s="40" t="n">
        <v>19363</v>
      </c>
      <c r="E30" s="40" t="n">
        <v>23513</v>
      </c>
      <c r="F30" s="35"/>
      <c r="G30" s="33"/>
      <c r="H30" s="33"/>
      <c r="I30" s="33"/>
      <c r="J30" s="33"/>
      <c r="K30" s="33"/>
      <c r="L30" s="33"/>
    </row>
    <row r="31" customFormat="false" ht="15" hidden="false" customHeight="false" outlineLevel="0" collapsed="false">
      <c r="A31" s="36" t="s">
        <v>274</v>
      </c>
      <c r="B31" s="40" t="n">
        <v>3156</v>
      </c>
      <c r="C31" s="40" t="n">
        <v>3303</v>
      </c>
      <c r="D31" s="40" t="n">
        <v>3123</v>
      </c>
      <c r="E31" s="40" t="n">
        <v>3029</v>
      </c>
      <c r="F31" s="35"/>
      <c r="G31" s="33"/>
      <c r="H31" s="33"/>
      <c r="I31" s="33"/>
      <c r="J31" s="33"/>
      <c r="K31" s="33"/>
      <c r="L31" s="33"/>
    </row>
    <row r="32" customFormat="false" ht="15" hidden="false" customHeight="false" outlineLevel="0" collapsed="false">
      <c r="A32" s="36" t="s">
        <v>275</v>
      </c>
      <c r="B32" s="40" t="n">
        <v>2422</v>
      </c>
      <c r="C32" s="40" t="n">
        <v>3372</v>
      </c>
      <c r="D32" s="40" t="n">
        <v>4576</v>
      </c>
      <c r="E32" s="40" t="n">
        <v>5936</v>
      </c>
      <c r="F32" s="35"/>
      <c r="G32" s="33"/>
      <c r="H32" s="33"/>
      <c r="I32" s="33"/>
      <c r="J32" s="33"/>
      <c r="K32" s="33"/>
      <c r="L32" s="33"/>
    </row>
    <row r="33" customFormat="false" ht="15" hidden="false" customHeight="false" outlineLevel="0" collapsed="false">
      <c r="A33" s="36" t="s">
        <v>276</v>
      </c>
      <c r="B33" s="40" t="n">
        <v>3565</v>
      </c>
      <c r="C33" s="40" t="n">
        <v>8676</v>
      </c>
      <c r="D33" s="40" t="n">
        <v>4521</v>
      </c>
      <c r="E33" s="40" t="n">
        <v>11185</v>
      </c>
      <c r="F33" s="35"/>
      <c r="G33" s="33"/>
      <c r="H33" s="33"/>
      <c r="I33" s="33"/>
      <c r="J33" s="33"/>
      <c r="K33" s="33"/>
      <c r="L33" s="33"/>
    </row>
    <row r="34" customFormat="false" ht="15" hidden="false" customHeight="false" outlineLevel="0" collapsed="false">
      <c r="A34" s="52" t="s">
        <v>277</v>
      </c>
      <c r="B34" s="35"/>
      <c r="C34" s="35"/>
      <c r="D34" s="35"/>
      <c r="E34" s="35"/>
      <c r="F34" s="35"/>
      <c r="G34" s="33"/>
      <c r="H34" s="33"/>
      <c r="I34" s="33"/>
      <c r="J34" s="33"/>
      <c r="K34" s="33"/>
      <c r="L34" s="33"/>
    </row>
    <row r="35" customFormat="false" ht="15" hidden="false" customHeight="false" outlineLevel="0" collapsed="false">
      <c r="A35" s="30"/>
      <c r="B35" s="30"/>
      <c r="C35" s="30"/>
      <c r="D35" s="30"/>
      <c r="E35" s="30"/>
      <c r="F35" s="30"/>
    </row>
    <row r="36" customFormat="false" ht="22.35" hidden="false" customHeight="false" outlineLevel="0" collapsed="false">
      <c r="A36" s="31" t="s">
        <v>278</v>
      </c>
      <c r="B36" s="32" t="s">
        <v>245</v>
      </c>
      <c r="C36" s="32" t="s">
        <v>246</v>
      </c>
      <c r="D36" s="32" t="s">
        <v>247</v>
      </c>
      <c r="E36" s="32" t="s">
        <v>279</v>
      </c>
      <c r="F36" s="32" t="s">
        <v>280</v>
      </c>
      <c r="G36" s="33"/>
      <c r="H36" s="33"/>
      <c r="I36" s="33"/>
      <c r="J36" s="33"/>
      <c r="K36" s="33"/>
      <c r="L36" s="33"/>
    </row>
    <row r="37" customFormat="false" ht="15" hidden="false" customHeight="false" outlineLevel="0" collapsed="false">
      <c r="A37" s="36" t="s">
        <v>281</v>
      </c>
      <c r="B37" s="48" t="n">
        <f aca="false">IF(COUNT(C25,C22,B25,B22)=4,(C25/C22)/(B25/B22),NA())</f>
        <v>0.865978243502422</v>
      </c>
      <c r="C37" s="48" t="n">
        <f aca="false">IF(COUNT(D25,D22,C25,C22)=4,(D25/D22)/(C25/C22),NA())</f>
        <v>1.01984378613875</v>
      </c>
      <c r="D37" s="48" t="n">
        <f aca="false">IF(COUNT(E25,E22,D25,D22)=4,(E25/E22)/(D25/D22),NA())</f>
        <v>1.43732903412497</v>
      </c>
      <c r="E37" s="55" t="n">
        <v>0.92</v>
      </c>
      <c r="F37" s="52" t="n">
        <v>1.465</v>
      </c>
      <c r="G37" s="33"/>
      <c r="H37" s="33"/>
      <c r="I37" s="33"/>
      <c r="J37" s="33"/>
      <c r="K37" s="33"/>
      <c r="L37" s="33"/>
    </row>
    <row r="38" customFormat="false" ht="15" hidden="false" customHeight="false" outlineLevel="0" collapsed="false">
      <c r="A38" s="36" t="s">
        <v>282</v>
      </c>
      <c r="B38" s="48" t="n">
        <f aca="false">IF(COUNT(C22,C23,B22,B23)=4,((B22-B23)/B22)/((C22-C23)/C22),NA())</f>
        <v>0.930698886039326</v>
      </c>
      <c r="C38" s="48" t="n">
        <f aca="false">IF(COUNT(D22,D23,C22,C23)=4,((C22-C23)/C22)/((D22-D23)/D22),NA())</f>
        <v>1.0715634042808</v>
      </c>
      <c r="D38" s="48" t="n">
        <f aca="false">IF(COUNT(E22,E23,D22,D23)=4,((D22-D23)/D22)/((E22-E23)/E22),NA())</f>
        <v>1.11181482629248</v>
      </c>
      <c r="E38" s="55" t="n">
        <v>0.528</v>
      </c>
      <c r="F38" s="52" t="n">
        <v>1.193</v>
      </c>
      <c r="G38" s="33"/>
      <c r="H38" s="33"/>
      <c r="I38" s="33"/>
      <c r="J38" s="33"/>
      <c r="K38" s="33"/>
      <c r="L38" s="33"/>
    </row>
    <row r="39" customFormat="false" ht="15" hidden="false" customHeight="false" outlineLevel="0" collapsed="false">
      <c r="A39" s="36" t="s">
        <v>283</v>
      </c>
      <c r="B39" s="48" t="n">
        <f aca="false">IF(COUNT(C26,C27,C28,B26,B27,B28)=6,(1-(C26+C27)/C28)/(1-(B26+B27)/B28),NA())</f>
        <v>1.05549650388493</v>
      </c>
      <c r="C39" s="48" t="n">
        <f aca="false">IF(COUNT(D26,D27,D28,C26,C27,C28)=6,(1-(D26+D27)/D28)/(1-(C26+C27)/C28),NA())</f>
        <v>0.964257313368838</v>
      </c>
      <c r="D39" s="48" t="n">
        <f aca="false">IF(COUNT(E26,E27,E28,D26,D27,D28)=6,(1-(E26+E27)/E28)/(1-(D26+D27)/D28),NA())</f>
        <v>0.783671471974042</v>
      </c>
      <c r="E39" s="55" t="n">
        <v>0.404</v>
      </c>
      <c r="F39" s="52" t="n">
        <v>1.254</v>
      </c>
      <c r="G39" s="33"/>
      <c r="H39" s="33"/>
      <c r="I39" s="33"/>
      <c r="J39" s="33"/>
      <c r="K39" s="33"/>
      <c r="L39" s="33"/>
    </row>
    <row r="40" customFormat="false" ht="15" hidden="false" customHeight="false" outlineLevel="0" collapsed="false">
      <c r="A40" s="36" t="s">
        <v>284</v>
      </c>
      <c r="B40" s="48" t="n">
        <f aca="false">IF(COUNT(C22,B22)=2,C22/B22,NA())</f>
        <v>0.864361052189128</v>
      </c>
      <c r="C40" s="48" t="n">
        <f aca="false">IF(COUNT(D22,C22)=2,D22/C22,NA())</f>
        <v>1.0807690132881</v>
      </c>
      <c r="D40" s="48" t="n">
        <f aca="false">IF(COUNT(E22,D22)=2,E22/D22,NA())</f>
        <v>1.18804608285287</v>
      </c>
      <c r="E40" s="55" t="n">
        <v>0.892</v>
      </c>
      <c r="F40" s="52" t="n">
        <v>1.607</v>
      </c>
      <c r="G40" s="33"/>
      <c r="H40" s="33"/>
      <c r="I40" s="33"/>
      <c r="J40" s="33"/>
      <c r="K40" s="33"/>
      <c r="L40" s="33"/>
    </row>
    <row r="41" customFormat="false" ht="15" hidden="false" customHeight="false" outlineLevel="0" collapsed="false">
      <c r="A41" s="36" t="s">
        <v>285</v>
      </c>
      <c r="B41" s="48" t="n">
        <f aca="false">IF(COUNT(C31,C27,B31,B27)=4,(B31/(B31+B27))/(C31/(C31+C27)),NA())</f>
        <v>0.993245474555239</v>
      </c>
      <c r="C41" s="48" t="n">
        <f aca="false">IF(COUNT(D31,D27,C31,C27)=4,(C31/(C31+C27))/(D31/(D31+D27)),NA())</f>
        <v>1.02765149664969</v>
      </c>
      <c r="D41" s="48" t="n">
        <f aca="false">IF(COUNT(E31,E27,D31,D27)=4,(D31/(D31+D27))/(E31/(E31+E27)),NA())</f>
        <v>1.05784740530721</v>
      </c>
      <c r="E41" s="55" t="n">
        <v>0.115</v>
      </c>
      <c r="F41" s="52" t="n">
        <v>1.077</v>
      </c>
      <c r="G41" s="33"/>
      <c r="H41" s="33"/>
      <c r="I41" s="33"/>
      <c r="J41" s="33"/>
      <c r="K41" s="33"/>
      <c r="L41" s="33"/>
    </row>
    <row r="42" customFormat="false" ht="15" hidden="false" customHeight="false" outlineLevel="0" collapsed="false">
      <c r="A42" s="36" t="s">
        <v>286</v>
      </c>
      <c r="B42" s="48" t="n">
        <f aca="false">IF(COUNT(C24,C22,B24,B22)=4,(C24/C22)/(B24/B22),NA())</f>
        <v>1.00952581241973</v>
      </c>
      <c r="C42" s="48" t="n">
        <f aca="false">IF(COUNT(D24,D22,C24,C22)=4,(D24/D22)/(C24/C22),NA())</f>
        <v>0.86510785165571</v>
      </c>
      <c r="D42" s="48" t="n">
        <f aca="false">IF(COUNT(E24,E22,D24,D22)=4,(E24/E22)/(D24/D22),NA())</f>
        <v>0.811503040725801</v>
      </c>
      <c r="E42" s="55" t="n">
        <v>-0.172</v>
      </c>
      <c r="F42" s="52" t="n">
        <v>1.041</v>
      </c>
      <c r="G42" s="33"/>
      <c r="H42" s="33"/>
      <c r="I42" s="33"/>
      <c r="J42" s="33"/>
      <c r="K42" s="33"/>
      <c r="L42" s="33"/>
    </row>
    <row r="43" customFormat="false" ht="15" hidden="false" customHeight="false" outlineLevel="0" collapsed="false">
      <c r="A43" s="36" t="s">
        <v>287</v>
      </c>
      <c r="B43" s="48" t="n">
        <f aca="false">IF(COUNT(C29,C30,C28,B29,B30,B28)=6,((C29+C30)/C28)/((B29+B30)/B28),NA())</f>
        <v>0.984421474309837</v>
      </c>
      <c r="C43" s="48" t="n">
        <f aca="false">IF(COUNT(D29,D30,D28,C29,C30,C28)=6,((D29+D30)/D28)/((C29+C30)/C28),NA())</f>
        <v>1.00728069123252</v>
      </c>
      <c r="D43" s="48" t="n">
        <f aca="false">IF(COUNT(E29,E30,E28,D29,D30,D28)=6,((E29+E30)/E28)/((D29+D30)/D28),NA())</f>
        <v>1.03697822119248</v>
      </c>
      <c r="E43" s="55" t="n">
        <v>-0.327</v>
      </c>
      <c r="F43" s="52" t="n">
        <v>1.111</v>
      </c>
      <c r="G43" s="33"/>
      <c r="H43" s="33"/>
      <c r="I43" s="33"/>
      <c r="J43" s="33"/>
      <c r="K43" s="33"/>
      <c r="L43" s="33"/>
    </row>
    <row r="44" customFormat="false" ht="15" hidden="false" customHeight="false" outlineLevel="0" collapsed="false">
      <c r="A44" s="36" t="s">
        <v>288</v>
      </c>
      <c r="B44" s="48" t="n">
        <f aca="false">IF(COUNT(C32,C33,C28)=3,(C32-C33)/C28,NA())</f>
        <v>-0.0645836884786791</v>
      </c>
      <c r="C44" s="48" t="n">
        <f aca="false">IF(COUNT(D32,D33,D28)=3,(D32-D33)/D28,NA())</f>
        <v>0.000689689765003887</v>
      </c>
      <c r="D44" s="48" t="n">
        <f aca="false">IF(COUNT(E32,E33,E28)=3,(E32-E33)/E28,NA())</f>
        <v>-0.0518235491578303</v>
      </c>
      <c r="E44" s="55" t="n">
        <v>4.679</v>
      </c>
      <c r="F44" s="52" t="n">
        <v>0.031</v>
      </c>
      <c r="G44" s="33"/>
      <c r="H44" s="33"/>
      <c r="I44" s="33"/>
      <c r="J44" s="33"/>
      <c r="K44" s="33"/>
      <c r="L44" s="33"/>
    </row>
    <row r="45" customFormat="false" ht="15" hidden="false" customHeight="false" outlineLevel="0" collapsed="false">
      <c r="A45" s="34" t="s">
        <v>289</v>
      </c>
      <c r="B45" s="56" t="n">
        <f aca="false">IF(OR(ISERROR(B44),(ISERROR(B37)+ISERROR(B38)+ISERROR(B39)+ISERROR(B40)+ISERROR(B41)+ISERROR(B42)+ISERROR(B43))&gt;2),NA(),-4.84+E37*IFERROR(B37,1)+E38*IFERROR(B38,1)+E39*IFERROR(B39,1)+E40*IFERROR(B40,1)+E41*IFERROR(B41,1)+E42*IFERROR(B42,1)+E43*IFERROR(B43,1)+E44*B44)</f>
        <v>-3.03796846868019</v>
      </c>
      <c r="C45" s="56" t="n">
        <f aca="false">IF(OR(ISERROR(C44),(ISERROR(C37)+ISERROR(C38)+ISERROR(C39)+ISERROR(C40)+ISERROR(C41)+ISERROR(C42)+ISERROR(C43))&gt;2),NA(),-4.84+E37*IFERROR(C37,1)+E38*IFERROR(C38,1)+E39*IFERROR(C39,1)+E40*IFERROR(C40,1)+E41*IFERROR(C41,1)+E42*IFERROR(C42,1)+E43*IFERROR(C43,1)+E44*C44)</f>
        <v>-2.33912468083074</v>
      </c>
      <c r="D45" s="56" t="n">
        <f aca="false">IF(OR(ISERROR(D44),(ISERROR(D37)+ISERROR(D38)+ISERROR(D39)+ISERROR(D40)+ISERROR(D41)+ISERROR(D42)+ISERROR(D43))&gt;2),NA(),-4.84+E37*IFERROR(D37,1)+E38*IFERROR(D38,1)+E39*IFERROR(D39,1)+E40*IFERROR(D40,1)+E41*IFERROR(D41,1)+E42*IFERROR(D42,1)+E43*IFERROR(D43,1)+E44*D44)</f>
        <v>-2.15377901597426</v>
      </c>
      <c r="E45" s="35"/>
      <c r="F45" s="35"/>
      <c r="G45" s="33"/>
      <c r="H45" s="33"/>
      <c r="I45" s="33"/>
      <c r="J45" s="33"/>
      <c r="K45" s="33"/>
      <c r="L45" s="33"/>
    </row>
    <row r="46" customFormat="false" ht="15" hidden="false" customHeight="false" outlineLevel="0" collapsed="false">
      <c r="A46" s="30"/>
      <c r="B46" s="30"/>
      <c r="C46" s="30"/>
      <c r="D46" s="30"/>
      <c r="E46" s="30"/>
      <c r="F46" s="30"/>
    </row>
    <row r="47" customFormat="false" ht="15" hidden="false" customHeight="false" outlineLevel="0" collapsed="false">
      <c r="A47" s="36" t="s">
        <v>290</v>
      </c>
      <c r="B47" s="53" t="n">
        <f aca="false">IF(COUNT(E32,E33,E28,D28)=4,(E32-E33)/((E28+D28)/2),NA())</f>
        <v>-0.0579897476689204</v>
      </c>
      <c r="C47" s="35"/>
      <c r="D47" s="35"/>
      <c r="E47" s="35"/>
      <c r="F47" s="35"/>
      <c r="G47" s="33"/>
      <c r="H47" s="33"/>
      <c r="I47" s="33"/>
      <c r="J47" s="33"/>
      <c r="K47" s="33"/>
      <c r="L47" s="33"/>
    </row>
    <row r="48" customFormat="false" ht="15" hidden="false" customHeight="false" outlineLevel="0" collapsed="false">
      <c r="A48" s="36" t="s">
        <v>291</v>
      </c>
      <c r="B48" s="57" t="n">
        <f aca="false">IF(AND(COUNT(C32:E32)=3,COUNT(C33:E33)=3,SUM(C32:E32)&gt;0),SUM(C33:E33)/SUM(C32:E32),NA())</f>
        <v>1.75612215499856</v>
      </c>
      <c r="C48" s="35"/>
      <c r="D48" s="35"/>
      <c r="E48" s="35"/>
      <c r="F48" s="35"/>
      <c r="G48" s="33"/>
      <c r="H48" s="33"/>
      <c r="I48" s="33"/>
      <c r="J48" s="33"/>
      <c r="K48" s="33"/>
      <c r="L48" s="33"/>
    </row>
    <row r="49" customFormat="false" ht="15" hidden="false" customHeight="false" outlineLevel="0" collapsed="false">
      <c r="A49" s="36" t="s">
        <v>292</v>
      </c>
      <c r="B49" s="58" t="n">
        <f aca="false">IF(ISNUMBER(eq_m),--(eq_m&gt;-1.78),0)+IF(ISNUMBER(eq_accr),--(eq_accr&gt;0.1),0)+IF(ISNUMBER(eq_cc),--(eq_cc&lt;0.5),0)</f>
        <v>0</v>
      </c>
      <c r="C49" s="35"/>
      <c r="D49" s="35"/>
      <c r="E49" s="35"/>
      <c r="F49" s="35"/>
      <c r="G49" s="33"/>
      <c r="H49" s="33"/>
      <c r="I49" s="33"/>
      <c r="J49" s="33"/>
      <c r="K49" s="33"/>
      <c r="L49" s="33"/>
    </row>
    <row r="50" customFormat="false" ht="15" hidden="false" customHeight="false" outlineLevel="0" collapsed="false">
      <c r="A50" s="36" t="s">
        <v>293</v>
      </c>
      <c r="B50" s="58" t="n">
        <f aca="false">IF(ISNUMBER(eq_m),--AND(eq_m&gt;-2.22,eq_m&lt;=-1.78),0)+IF(ISNUMBER(eq_accr),--AND(eq_accr&gt;0.05,eq_accr&lt;=0.1),0)+IF(ISNUMBER(eq_cc),--AND(eq_cc&gt;=0.5,eq_cc&lt;0.8),0)</f>
        <v>1</v>
      </c>
      <c r="C50" s="35"/>
      <c r="D50" s="35"/>
      <c r="E50" s="35"/>
      <c r="F50" s="35"/>
      <c r="G50" s="33"/>
      <c r="H50" s="33"/>
      <c r="I50" s="33"/>
      <c r="J50" s="33"/>
      <c r="K50" s="33"/>
      <c r="L50" s="33"/>
    </row>
    <row r="51" customFormat="false" ht="15" hidden="false" customHeight="false" outlineLevel="0" collapsed="false">
      <c r="A51" s="34" t="s">
        <v>294</v>
      </c>
      <c r="B51" s="59" t="str">
        <f aca="false">IF(AND(NOT(ISNUMBER(eq_m)),NOT(ISNUMBER(eq_accr)),NOT(ISNUMBER(eq_cc))),"n/a",IF(eq_red&gt;=2,"D",IF(OR(eq_red=1,eq_amber&gt;=2),"C",IF(eq_amber=1,"B","A"))))</f>
        <v>B</v>
      </c>
      <c r="C51" s="35"/>
      <c r="D51" s="35"/>
      <c r="E51" s="35"/>
      <c r="F51" s="35"/>
      <c r="G51" s="33"/>
      <c r="H51" s="33"/>
      <c r="I51" s="33"/>
      <c r="J51" s="33"/>
      <c r="K51" s="33"/>
      <c r="L51" s="33"/>
    </row>
    <row r="52" customFormat="false" ht="15" hidden="false" customHeight="false" outlineLevel="0" collapsed="false">
      <c r="A52" s="52" t="s">
        <v>295</v>
      </c>
      <c r="B52" s="35"/>
      <c r="C52" s="35"/>
      <c r="D52" s="35"/>
      <c r="E52" s="35"/>
      <c r="F52" s="35"/>
      <c r="G52" s="33"/>
      <c r="H52" s="33"/>
      <c r="I52" s="33"/>
      <c r="J52" s="33"/>
      <c r="K52" s="33"/>
      <c r="L52"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B4"/>
    <pageSetUpPr fitToPage="tru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52"/>
    <col collapsed="false" customWidth="true" hidden="false" outlineLevel="0" max="13" min="4" style="0" width="12"/>
  </cols>
  <sheetData>
    <row r="1" customFormat="false" ht="25.5" hidden="false" customHeight="true" outlineLevel="0" collapsed="false">
      <c r="A1" s="25" t="s">
        <v>296</v>
      </c>
      <c r="B1" s="26"/>
      <c r="C1" s="49" t="str">
        <f aca="false">"Scenario: "&amp;scen_name&amp;"  ·  switch on Dashboard"</f>
        <v>Scenario: Base  ·  switch on Dashboard</v>
      </c>
      <c r="D1" s="26"/>
      <c r="E1" s="26"/>
      <c r="F1" s="26"/>
      <c r="G1" s="26"/>
      <c r="H1" s="26"/>
      <c r="I1" s="26"/>
      <c r="J1" s="26"/>
      <c r="K1" s="26"/>
      <c r="L1" s="26"/>
      <c r="M1" s="26"/>
    </row>
    <row r="2" customFormat="false" ht="15.75" hidden="false" customHeight="true" outlineLevel="0" collapsed="false">
      <c r="A2" s="27" t="s">
        <v>297</v>
      </c>
      <c r="B2" s="28"/>
      <c r="C2" s="28"/>
      <c r="D2" s="28"/>
      <c r="E2" s="28"/>
      <c r="F2" s="28"/>
      <c r="G2" s="28"/>
      <c r="H2" s="28"/>
      <c r="I2" s="28"/>
      <c r="J2" s="28"/>
      <c r="K2" s="28"/>
      <c r="L2" s="28"/>
      <c r="M2" s="28"/>
    </row>
    <row r="3" customFormat="false" ht="15" hidden="false" customHeight="false" outlineLevel="0" collapsed="false">
      <c r="A3" s="30"/>
      <c r="B3" s="30"/>
      <c r="C3" s="30"/>
      <c r="D3" s="30"/>
      <c r="E3" s="30"/>
      <c r="F3" s="30"/>
      <c r="G3" s="30"/>
      <c r="H3" s="30"/>
      <c r="I3" s="30"/>
      <c r="J3" s="30"/>
      <c r="K3" s="30"/>
      <c r="L3" s="30"/>
      <c r="M3" s="30"/>
    </row>
    <row r="4" customFormat="false" ht="15" hidden="false" customHeight="false" outlineLevel="0" collapsed="false">
      <c r="A4" s="31" t="s">
        <v>244</v>
      </c>
      <c r="B4" s="32" t="s">
        <v>298</v>
      </c>
      <c r="C4" s="32" t="s">
        <v>299</v>
      </c>
      <c r="D4" s="32" t="s">
        <v>300</v>
      </c>
      <c r="E4" s="32" t="s">
        <v>301</v>
      </c>
      <c r="F4" s="32" t="s">
        <v>302</v>
      </c>
      <c r="G4" s="32" t="s">
        <v>303</v>
      </c>
      <c r="H4" s="32" t="s">
        <v>304</v>
      </c>
      <c r="I4" s="32" t="s">
        <v>305</v>
      </c>
      <c r="J4" s="32" t="s">
        <v>306</v>
      </c>
      <c r="K4" s="32" t="s">
        <v>307</v>
      </c>
      <c r="L4" s="32" t="s">
        <v>308</v>
      </c>
      <c r="M4" s="32" t="s">
        <v>309</v>
      </c>
    </row>
    <row r="5" customFormat="false" ht="15" hidden="false" customHeight="false" outlineLevel="0" collapsed="false">
      <c r="A5" s="52" t="s">
        <v>310</v>
      </c>
      <c r="B5" s="35"/>
      <c r="C5" s="35"/>
      <c r="D5" s="52" t="n">
        <v>0</v>
      </c>
      <c r="E5" s="52" t="n">
        <v>1</v>
      </c>
      <c r="F5" s="52" t="n">
        <v>2</v>
      </c>
      <c r="G5" s="52" t="n">
        <v>3</v>
      </c>
      <c r="H5" s="52" t="n">
        <v>4</v>
      </c>
      <c r="I5" s="52" t="n">
        <v>5</v>
      </c>
      <c r="J5" s="52" t="n">
        <v>6</v>
      </c>
      <c r="K5" s="52" t="n">
        <v>7</v>
      </c>
      <c r="L5" s="52" t="n">
        <v>8</v>
      </c>
      <c r="M5" s="52" t="n">
        <v>9</v>
      </c>
    </row>
    <row r="6" customFormat="false" ht="15" hidden="false" customHeight="false" outlineLevel="0" collapsed="false">
      <c r="A6" s="36" t="s">
        <v>311</v>
      </c>
      <c r="B6" s="35"/>
      <c r="C6" s="52" t="s">
        <v>312</v>
      </c>
      <c r="D6" s="53"/>
      <c r="E6" s="53" t="n">
        <f aca="false">s_g_ai_0</f>
        <v>0.45</v>
      </c>
      <c r="F6" s="53" t="n">
        <f aca="false">s_g_ai_1</f>
        <v>0.2</v>
      </c>
      <c r="G6" s="53" t="n">
        <f aca="false">s_g_ai_2</f>
        <v>0.12</v>
      </c>
      <c r="H6" s="53" t="n">
        <f aca="false">s_g_ai_3</f>
        <v>0.08</v>
      </c>
      <c r="I6" s="53" t="n">
        <f aca="false">s_g_ai_3+(g-s_g_ai_3)*(I$5-4)/5</f>
        <v>0.07</v>
      </c>
      <c r="J6" s="53" t="n">
        <f aca="false">s_g_ai_3+(g-s_g_ai_3)*(J$5-4)/5</f>
        <v>0.06</v>
      </c>
      <c r="K6" s="53" t="n">
        <f aca="false">s_g_ai_3+(g-s_g_ai_3)*(K$5-4)/5</f>
        <v>0.05</v>
      </c>
      <c r="L6" s="53" t="n">
        <f aca="false">s_g_ai_3+(g-s_g_ai_3)*(L$5-4)/5</f>
        <v>0.04</v>
      </c>
      <c r="M6" s="53" t="n">
        <f aca="false">s_g_ai_3+(g-s_g_ai_3)*(M$5-4)/5</f>
        <v>0.03</v>
      </c>
    </row>
    <row r="7" customFormat="false" ht="15" hidden="false" customHeight="false" outlineLevel="0" collapsed="false">
      <c r="A7" s="36" t="s">
        <v>313</v>
      </c>
      <c r="B7" s="35"/>
      <c r="C7" s="52" t="s">
        <v>314</v>
      </c>
      <c r="D7" s="42" t="n">
        <f aca="false">segy1_ai</f>
        <v>74000</v>
      </c>
      <c r="E7" s="42" t="n">
        <f aca="false">D7*(1+E6)</f>
        <v>107300</v>
      </c>
      <c r="F7" s="42" t="n">
        <f aca="false">E7*(1+F6)</f>
        <v>128760</v>
      </c>
      <c r="G7" s="42" t="n">
        <f aca="false">F7*(1+G6)</f>
        <v>144211.2</v>
      </c>
      <c r="H7" s="42" t="n">
        <f aca="false">G7*(1+H6)</f>
        <v>155748.096</v>
      </c>
      <c r="I7" s="42" t="n">
        <f aca="false">H7*(1+I6)</f>
        <v>166650.46272</v>
      </c>
      <c r="J7" s="42" t="n">
        <f aca="false">I7*(1+J6)</f>
        <v>176649.4904832</v>
      </c>
      <c r="K7" s="42" t="n">
        <f aca="false">J7*(1+K6)</f>
        <v>185481.96500736</v>
      </c>
      <c r="L7" s="42" t="n">
        <f aca="false">K7*(1+L6)</f>
        <v>192901.243607654</v>
      </c>
      <c r="M7" s="42" t="n">
        <f aca="false">L7*(1+M6)</f>
        <v>198688.280915884</v>
      </c>
    </row>
    <row r="8" customFormat="false" ht="15" hidden="false" customHeight="false" outlineLevel="0" collapsed="false">
      <c r="A8" s="36" t="s">
        <v>315</v>
      </c>
      <c r="B8" s="35"/>
      <c r="C8" s="52" t="s">
        <v>312</v>
      </c>
      <c r="D8" s="53"/>
      <c r="E8" s="53" t="n">
        <f aca="false">s_g_trad_0</f>
        <v>0</v>
      </c>
      <c r="F8" s="53" t="n">
        <f aca="false">s_g_trad_1</f>
        <v>-0.03</v>
      </c>
      <c r="G8" s="53" t="n">
        <f aca="false">s_g_trad_2</f>
        <v>0.02</v>
      </c>
      <c r="H8" s="53" t="n">
        <f aca="false">s_g_trad_3</f>
        <v>0.03</v>
      </c>
      <c r="I8" s="53" t="n">
        <f aca="false">s_g_trad_3+(g-s_g_trad_3)*(I$5-4)/5</f>
        <v>0.03</v>
      </c>
      <c r="J8" s="53" t="n">
        <f aca="false">s_g_trad_3+(g-s_g_trad_3)*(J$5-4)/5</f>
        <v>0.03</v>
      </c>
      <c r="K8" s="53" t="n">
        <f aca="false">s_g_trad_3+(g-s_g_trad_3)*(K$5-4)/5</f>
        <v>0.03</v>
      </c>
      <c r="L8" s="53" t="n">
        <f aca="false">s_g_trad_3+(g-s_g_trad_3)*(L$5-4)/5</f>
        <v>0.03</v>
      </c>
      <c r="M8" s="53" t="n">
        <f aca="false">s_g_trad_3+(g-s_g_trad_3)*(M$5-4)/5</f>
        <v>0.03</v>
      </c>
    </row>
    <row r="9" customFormat="false" ht="15" hidden="false" customHeight="false" outlineLevel="0" collapsed="false">
      <c r="A9" s="36" t="s">
        <v>316</v>
      </c>
      <c r="B9" s="35"/>
      <c r="C9" s="52" t="s">
        <v>314</v>
      </c>
      <c r="D9" s="42" t="n">
        <f aca="false">segy1_trad</f>
        <v>40000</v>
      </c>
      <c r="E9" s="42" t="n">
        <f aca="false">D9*(1+E8)</f>
        <v>40000</v>
      </c>
      <c r="F9" s="42" t="n">
        <f aca="false">E9*(1+F8)</f>
        <v>38800</v>
      </c>
      <c r="G9" s="42" t="n">
        <f aca="false">F9*(1+G8)</f>
        <v>39576</v>
      </c>
      <c r="H9" s="42" t="n">
        <f aca="false">G9*(1+H8)</f>
        <v>40763.28</v>
      </c>
      <c r="I9" s="42" t="n">
        <f aca="false">H9*(1+I8)</f>
        <v>41986.1784</v>
      </c>
      <c r="J9" s="42" t="n">
        <f aca="false">I9*(1+J8)</f>
        <v>43245.763752</v>
      </c>
      <c r="K9" s="42" t="n">
        <f aca="false">J9*(1+K8)</f>
        <v>44543.13666456</v>
      </c>
      <c r="L9" s="42" t="n">
        <f aca="false">K9*(1+L8)</f>
        <v>45879.4307644968</v>
      </c>
      <c r="M9" s="42" t="n">
        <f aca="false">L9*(1+M8)</f>
        <v>47255.8136874317</v>
      </c>
    </row>
    <row r="10" customFormat="false" ht="15" hidden="false" customHeight="false" outlineLevel="0" collapsed="false">
      <c r="A10" s="36" t="s">
        <v>317</v>
      </c>
      <c r="B10" s="35"/>
      <c r="C10" s="52" t="s">
        <v>312</v>
      </c>
      <c r="D10" s="53"/>
      <c r="E10" s="53" t="n">
        <f aca="false">s_g_storage_0</f>
        <v>0.06</v>
      </c>
      <c r="F10" s="53" t="n">
        <f aca="false">s_g_storage_1</f>
        <v>0.05</v>
      </c>
      <c r="G10" s="53" t="n">
        <f aca="false">s_g_storage_2</f>
        <v>0.04</v>
      </c>
      <c r="H10" s="53" t="n">
        <f aca="false">s_g_storage_3</f>
        <v>0.03</v>
      </c>
      <c r="I10" s="53" t="n">
        <f aca="false">s_g_storage_3+(g-s_g_storage_3)*(I$5-4)/5</f>
        <v>0.03</v>
      </c>
      <c r="J10" s="53" t="n">
        <f aca="false">s_g_storage_3+(g-s_g_storage_3)*(J$5-4)/5</f>
        <v>0.03</v>
      </c>
      <c r="K10" s="53" t="n">
        <f aca="false">s_g_storage_3+(g-s_g_storage_3)*(K$5-4)/5</f>
        <v>0.03</v>
      </c>
      <c r="L10" s="53" t="n">
        <f aca="false">s_g_storage_3+(g-s_g_storage_3)*(L$5-4)/5</f>
        <v>0.03</v>
      </c>
      <c r="M10" s="53" t="n">
        <f aca="false">s_g_storage_3+(g-s_g_storage_3)*(M$5-4)/5</f>
        <v>0.03</v>
      </c>
    </row>
    <row r="11" customFormat="false" ht="15" hidden="false" customHeight="false" outlineLevel="0" collapsed="false">
      <c r="A11" s="36" t="s">
        <v>318</v>
      </c>
      <c r="B11" s="35"/>
      <c r="C11" s="52" t="s">
        <v>314</v>
      </c>
      <c r="D11" s="42" t="n">
        <f aca="false">segy1_storage</f>
        <v>19300</v>
      </c>
      <c r="E11" s="42" t="n">
        <f aca="false">D11*(1+E10)</f>
        <v>20458</v>
      </c>
      <c r="F11" s="42" t="n">
        <f aca="false">E11*(1+F10)</f>
        <v>21480.9</v>
      </c>
      <c r="G11" s="42" t="n">
        <f aca="false">F11*(1+G10)</f>
        <v>22340.136</v>
      </c>
      <c r="H11" s="42" t="n">
        <f aca="false">G11*(1+H10)</f>
        <v>23010.34008</v>
      </c>
      <c r="I11" s="42" t="n">
        <f aca="false">H11*(1+I10)</f>
        <v>23700.6502824</v>
      </c>
      <c r="J11" s="42" t="n">
        <f aca="false">I11*(1+J10)</f>
        <v>24411.669790872</v>
      </c>
      <c r="K11" s="42" t="n">
        <f aca="false">J11*(1+K10)</f>
        <v>25144.0198845982</v>
      </c>
      <c r="L11" s="42" t="n">
        <f aca="false">K11*(1+L10)</f>
        <v>25898.3404811361</v>
      </c>
      <c r="M11" s="42" t="n">
        <f aca="false">L11*(1+M10)</f>
        <v>26675.2906955702</v>
      </c>
    </row>
    <row r="12" customFormat="false" ht="15" hidden="false" customHeight="false" outlineLevel="0" collapsed="false">
      <c r="A12" s="36" t="s">
        <v>319</v>
      </c>
      <c r="B12" s="35"/>
      <c r="C12" s="52" t="s">
        <v>312</v>
      </c>
      <c r="D12" s="53"/>
      <c r="E12" s="53" t="n">
        <f aca="false">s_g_comm_0</f>
        <v>0.03</v>
      </c>
      <c r="F12" s="53" t="n">
        <f aca="false">s_g_comm_1</f>
        <v>0.02</v>
      </c>
      <c r="G12" s="53" t="n">
        <f aca="false">s_g_comm_2</f>
        <v>0.02</v>
      </c>
      <c r="H12" s="53" t="n">
        <f aca="false">s_g_comm_3</f>
        <v>0.02</v>
      </c>
      <c r="I12" s="53" t="n">
        <f aca="false">s_g_comm_3+(g-s_g_comm_3)*(I$5-4)/5</f>
        <v>0.022</v>
      </c>
      <c r="J12" s="53" t="n">
        <f aca="false">s_g_comm_3+(g-s_g_comm_3)*(J$5-4)/5</f>
        <v>0.024</v>
      </c>
      <c r="K12" s="53" t="n">
        <f aca="false">s_g_comm_3+(g-s_g_comm_3)*(K$5-4)/5</f>
        <v>0.026</v>
      </c>
      <c r="L12" s="53" t="n">
        <f aca="false">s_g_comm_3+(g-s_g_comm_3)*(L$5-4)/5</f>
        <v>0.028</v>
      </c>
      <c r="M12" s="53" t="n">
        <f aca="false">s_g_comm_3+(g-s_g_comm_3)*(M$5-4)/5</f>
        <v>0.03</v>
      </c>
    </row>
    <row r="13" customFormat="false" ht="15" hidden="false" customHeight="false" outlineLevel="0" collapsed="false">
      <c r="A13" s="36" t="s">
        <v>320</v>
      </c>
      <c r="B13" s="35"/>
      <c r="C13" s="52" t="s">
        <v>314</v>
      </c>
      <c r="D13" s="42" t="n">
        <f aca="false">segy1_comm</f>
        <v>51100</v>
      </c>
      <c r="E13" s="42" t="n">
        <f aca="false">D13*(1+E12)</f>
        <v>52633</v>
      </c>
      <c r="F13" s="42" t="n">
        <f aca="false">E13*(1+F12)</f>
        <v>53685.66</v>
      </c>
      <c r="G13" s="42" t="n">
        <f aca="false">F13*(1+G12)</f>
        <v>54759.3732</v>
      </c>
      <c r="H13" s="42" t="n">
        <f aca="false">G13*(1+H12)</f>
        <v>55854.560664</v>
      </c>
      <c r="I13" s="42" t="n">
        <f aca="false">H13*(1+I12)</f>
        <v>57083.360998608</v>
      </c>
      <c r="J13" s="42" t="n">
        <f aca="false">I13*(1+J12)</f>
        <v>58453.3616625746</v>
      </c>
      <c r="K13" s="42" t="n">
        <f aca="false">J13*(1+K12)</f>
        <v>59973.1490658015</v>
      </c>
      <c r="L13" s="42" t="n">
        <f aca="false">K13*(1+L12)</f>
        <v>61652.397239644</v>
      </c>
      <c r="M13" s="42" t="n">
        <f aca="false">L13*(1+M12)</f>
        <v>63501.9691568333</v>
      </c>
    </row>
    <row r="14" customFormat="false" ht="15" hidden="false" customHeight="false" outlineLevel="0" collapsed="false">
      <c r="A14" s="36" t="s">
        <v>321</v>
      </c>
      <c r="B14" s="35"/>
      <c r="C14" s="52" t="s">
        <v>312</v>
      </c>
      <c r="D14" s="53"/>
      <c r="E14" s="53" t="n">
        <f aca="false">s_g_cons_0</f>
        <v>0</v>
      </c>
      <c r="F14" s="53" t="n">
        <f aca="false">s_g_cons_1</f>
        <v>0</v>
      </c>
      <c r="G14" s="53" t="n">
        <f aca="false">s_g_cons_2</f>
        <v>0</v>
      </c>
      <c r="H14" s="53" t="n">
        <f aca="false">s_g_cons_3</f>
        <v>0</v>
      </c>
      <c r="I14" s="53" t="n">
        <f aca="false">s_g_cons_3+(g-s_g_cons_3)*(I$5-4)/5</f>
        <v>0.006</v>
      </c>
      <c r="J14" s="53" t="n">
        <f aca="false">s_g_cons_3+(g-s_g_cons_3)*(J$5-4)/5</f>
        <v>0.012</v>
      </c>
      <c r="K14" s="53" t="n">
        <f aca="false">s_g_cons_3+(g-s_g_cons_3)*(K$5-4)/5</f>
        <v>0.018</v>
      </c>
      <c r="L14" s="53" t="n">
        <f aca="false">s_g_cons_3+(g-s_g_cons_3)*(L$5-4)/5</f>
        <v>0.024</v>
      </c>
      <c r="M14" s="53" t="n">
        <f aca="false">s_g_cons_3+(g-s_g_cons_3)*(M$5-4)/5</f>
        <v>0.03</v>
      </c>
    </row>
    <row r="15" customFormat="false" ht="15" hidden="false" customHeight="false" outlineLevel="0" collapsed="false">
      <c r="A15" s="36" t="s">
        <v>322</v>
      </c>
      <c r="B15" s="35"/>
      <c r="C15" s="52" t="s">
        <v>314</v>
      </c>
      <c r="D15" s="42" t="n">
        <f aca="false">segy1_cons</f>
        <v>7000</v>
      </c>
      <c r="E15" s="42" t="n">
        <f aca="false">D15*(1+E14)</f>
        <v>7000</v>
      </c>
      <c r="F15" s="42" t="n">
        <f aca="false">E15*(1+F14)</f>
        <v>7000</v>
      </c>
      <c r="G15" s="42" t="n">
        <f aca="false">F15*(1+G14)</f>
        <v>7000</v>
      </c>
      <c r="H15" s="42" t="n">
        <f aca="false">G15*(1+H14)</f>
        <v>7000</v>
      </c>
      <c r="I15" s="42" t="n">
        <f aca="false">H15*(1+I14)</f>
        <v>7042</v>
      </c>
      <c r="J15" s="42" t="n">
        <f aca="false">I15*(1+J14)</f>
        <v>7126.504</v>
      </c>
      <c r="K15" s="42" t="n">
        <f aca="false">J15*(1+K14)</f>
        <v>7254.781072</v>
      </c>
      <c r="L15" s="42" t="n">
        <f aca="false">K15*(1+L14)</f>
        <v>7428.895817728</v>
      </c>
      <c r="M15" s="42" t="n">
        <f aca="false">L15*(1+M14)</f>
        <v>7651.76269225984</v>
      </c>
    </row>
    <row r="16" customFormat="false" ht="15" hidden="false" customHeight="false" outlineLevel="0" collapsed="false">
      <c r="A16" s="36" t="s">
        <v>323</v>
      </c>
      <c r="B16" s="35"/>
      <c r="C16" s="52" t="s">
        <v>312</v>
      </c>
      <c r="D16" s="53"/>
      <c r="E16" s="53" t="n">
        <f aca="false">s_g_other_0</f>
        <v>0</v>
      </c>
      <c r="F16" s="53" t="n">
        <f aca="false">s_g_other_1</f>
        <v>0</v>
      </c>
      <c r="G16" s="53" t="n">
        <f aca="false">s_g_other_2</f>
        <v>0</v>
      </c>
      <c r="H16" s="53" t="n">
        <f aca="false">s_g_other_3</f>
        <v>0</v>
      </c>
      <c r="I16" s="53" t="n">
        <f aca="false">s_g_other_3+(g-s_g_other_3)*(I$5-4)/5</f>
        <v>0.006</v>
      </c>
      <c r="J16" s="53" t="n">
        <f aca="false">s_g_other_3+(g-s_g_other_3)*(J$5-4)/5</f>
        <v>0.012</v>
      </c>
      <c r="K16" s="53" t="n">
        <f aca="false">s_g_other_3+(g-s_g_other_3)*(K$5-4)/5</f>
        <v>0.018</v>
      </c>
      <c r="L16" s="53" t="n">
        <f aca="false">s_g_other_3+(g-s_g_other_3)*(L$5-4)/5</f>
        <v>0.024</v>
      </c>
      <c r="M16" s="53" t="n">
        <f aca="false">s_g_other_3+(g-s_g_other_3)*(M$5-4)/5</f>
        <v>0.03</v>
      </c>
    </row>
    <row r="17" customFormat="false" ht="15" hidden="false" customHeight="false" outlineLevel="0" collapsed="false">
      <c r="A17" s="36" t="s">
        <v>324</v>
      </c>
      <c r="B17" s="35"/>
      <c r="C17" s="52" t="s">
        <v>314</v>
      </c>
      <c r="D17" s="42" t="n">
        <f aca="false">segy1_other</f>
        <v>600</v>
      </c>
      <c r="E17" s="42" t="n">
        <f aca="false">D17*(1+E16)</f>
        <v>600</v>
      </c>
      <c r="F17" s="42" t="n">
        <f aca="false">E17*(1+F16)</f>
        <v>600</v>
      </c>
      <c r="G17" s="42" t="n">
        <f aca="false">F17*(1+G16)</f>
        <v>600</v>
      </c>
      <c r="H17" s="42" t="n">
        <f aca="false">G17*(1+H16)</f>
        <v>600</v>
      </c>
      <c r="I17" s="42" t="n">
        <f aca="false">H17*(1+I16)</f>
        <v>603.6</v>
      </c>
      <c r="J17" s="42" t="n">
        <f aca="false">I17*(1+J16)</f>
        <v>610.8432</v>
      </c>
      <c r="K17" s="42" t="n">
        <f aca="false">J17*(1+K16)</f>
        <v>621.8383776</v>
      </c>
      <c r="L17" s="42" t="n">
        <f aca="false">K17*(1+L16)</f>
        <v>636.7624986624</v>
      </c>
      <c r="M17" s="42" t="n">
        <f aca="false">L17*(1+M16)</f>
        <v>655.865373622272</v>
      </c>
    </row>
    <row r="18" customFormat="false" ht="15" hidden="false" customHeight="false" outlineLevel="0" collapsed="false">
      <c r="A18" s="36" t="s">
        <v>325</v>
      </c>
      <c r="B18" s="35"/>
      <c r="C18" s="52" t="s">
        <v>326</v>
      </c>
      <c r="D18" s="53" t="n">
        <f aca="false">IF(D$5&gt;=4,s_m1_ai,s_m0_ai+(s_m1_ai-s_m0_ai)*D$5/4)</f>
        <v>0.09</v>
      </c>
      <c r="E18" s="53" t="n">
        <f aca="false">IF(E$5&gt;=4,s_m1_ai,s_m0_ai+(s_m1_ai-s_m0_ai)*E$5/4)</f>
        <v>0.0875</v>
      </c>
      <c r="F18" s="53" t="n">
        <f aca="false">IF(F$5&gt;=4,s_m1_ai,s_m0_ai+(s_m1_ai-s_m0_ai)*F$5/4)</f>
        <v>0.085</v>
      </c>
      <c r="G18" s="53" t="n">
        <f aca="false">IF(G$5&gt;=4,s_m1_ai,s_m0_ai+(s_m1_ai-s_m0_ai)*G$5/4)</f>
        <v>0.0825</v>
      </c>
      <c r="H18" s="53" t="n">
        <f aca="false">IF(H$5&gt;=4,s_m1_ai,s_m0_ai+(s_m1_ai-s_m0_ai)*H$5/4)</f>
        <v>0.08</v>
      </c>
      <c r="I18" s="53" t="n">
        <f aca="false">IF(I$5&gt;=4,s_m1_ai,s_m0_ai+(s_m1_ai-s_m0_ai)*I$5/4)</f>
        <v>0.08</v>
      </c>
      <c r="J18" s="53" t="n">
        <f aca="false">IF(J$5&gt;=4,s_m1_ai,s_m0_ai+(s_m1_ai-s_m0_ai)*J$5/4)</f>
        <v>0.08</v>
      </c>
      <c r="K18" s="53" t="n">
        <f aca="false">IF(K$5&gt;=4,s_m1_ai,s_m0_ai+(s_m1_ai-s_m0_ai)*K$5/4)</f>
        <v>0.08</v>
      </c>
      <c r="L18" s="53" t="n">
        <f aca="false">IF(L$5&gt;=4,s_m1_ai,s_m0_ai+(s_m1_ai-s_m0_ai)*L$5/4)</f>
        <v>0.08</v>
      </c>
      <c r="M18" s="53" t="n">
        <f aca="false">IF(M$5&gt;=4,s_m1_ai,s_m0_ai+(s_m1_ai-s_m0_ai)*M$5/4)</f>
        <v>0.08</v>
      </c>
    </row>
    <row r="19" customFormat="false" ht="15" hidden="false" customHeight="false" outlineLevel="0" collapsed="false">
      <c r="A19" s="36" t="s">
        <v>327</v>
      </c>
      <c r="B19" s="35"/>
      <c r="C19" s="52" t="s">
        <v>326</v>
      </c>
      <c r="D19" s="53" t="n">
        <f aca="false">IF(D$5&gt;=4,s_m1_core,s_m0_core+(s_m1_core-s_m0_core)*D$5/4)</f>
        <v>0.17</v>
      </c>
      <c r="E19" s="53" t="n">
        <f aca="false">IF(E$5&gt;=4,s_m1_core,s_m0_core+(s_m1_core-s_m0_core)*E$5/4)</f>
        <v>0.165</v>
      </c>
      <c r="F19" s="53" t="n">
        <f aca="false">IF(F$5&gt;=4,s_m1_core,s_m0_core+(s_m1_core-s_m0_core)*F$5/4)</f>
        <v>0.16</v>
      </c>
      <c r="G19" s="53" t="n">
        <f aca="false">IF(G$5&gt;=4,s_m1_core,s_m0_core+(s_m1_core-s_m0_core)*G$5/4)</f>
        <v>0.155</v>
      </c>
      <c r="H19" s="53" t="n">
        <f aca="false">IF(H$5&gt;=4,s_m1_core,s_m0_core+(s_m1_core-s_m0_core)*H$5/4)</f>
        <v>0.15</v>
      </c>
      <c r="I19" s="53" t="n">
        <f aca="false">IF(I$5&gt;=4,s_m1_core,s_m0_core+(s_m1_core-s_m0_core)*I$5/4)</f>
        <v>0.15</v>
      </c>
      <c r="J19" s="53" t="n">
        <f aca="false">IF(J$5&gt;=4,s_m1_core,s_m0_core+(s_m1_core-s_m0_core)*J$5/4)</f>
        <v>0.15</v>
      </c>
      <c r="K19" s="53" t="n">
        <f aca="false">IF(K$5&gt;=4,s_m1_core,s_m0_core+(s_m1_core-s_m0_core)*K$5/4)</f>
        <v>0.15</v>
      </c>
      <c r="L19" s="53" t="n">
        <f aca="false">IF(L$5&gt;=4,s_m1_core,s_m0_core+(s_m1_core-s_m0_core)*L$5/4)</f>
        <v>0.15</v>
      </c>
      <c r="M19" s="53" t="n">
        <f aca="false">IF(M$5&gt;=4,s_m1_core,s_m0_core+(s_m1_core-s_m0_core)*M$5/4)</f>
        <v>0.15</v>
      </c>
    </row>
    <row r="20" customFormat="false" ht="15" hidden="false" customHeight="false" outlineLevel="0" collapsed="false">
      <c r="A20" s="36" t="s">
        <v>328</v>
      </c>
      <c r="B20" s="35"/>
      <c r="C20" s="52" t="s">
        <v>326</v>
      </c>
      <c r="D20" s="53" t="n">
        <f aca="false">IF(D$5&gt;=4,s_m1_csg,s_m0_csg+(s_m1_csg-s_m0_csg)*D$5/4)</f>
        <v>0.077</v>
      </c>
      <c r="E20" s="53" t="n">
        <f aca="false">IF(E$5&gt;=4,s_m1_csg,s_m0_csg+(s_m1_csg-s_m0_csg)*E$5/4)</f>
        <v>0.074</v>
      </c>
      <c r="F20" s="53" t="n">
        <f aca="false">IF(F$5&gt;=4,s_m1_csg,s_m0_csg+(s_m1_csg-s_m0_csg)*F$5/4)</f>
        <v>0.071</v>
      </c>
      <c r="G20" s="53" t="n">
        <f aca="false">IF(G$5&gt;=4,s_m1_csg,s_m0_csg+(s_m1_csg-s_m0_csg)*G$5/4)</f>
        <v>0.068</v>
      </c>
      <c r="H20" s="53" t="n">
        <f aca="false">IF(H$5&gt;=4,s_m1_csg,s_m0_csg+(s_m1_csg-s_m0_csg)*H$5/4)</f>
        <v>0.065</v>
      </c>
      <c r="I20" s="53" t="n">
        <f aca="false">IF(I$5&gt;=4,s_m1_csg,s_m0_csg+(s_m1_csg-s_m0_csg)*I$5/4)</f>
        <v>0.065</v>
      </c>
      <c r="J20" s="53" t="n">
        <f aca="false">IF(J$5&gt;=4,s_m1_csg,s_m0_csg+(s_m1_csg-s_m0_csg)*J$5/4)</f>
        <v>0.065</v>
      </c>
      <c r="K20" s="53" t="n">
        <f aca="false">IF(K$5&gt;=4,s_m1_csg,s_m0_csg+(s_m1_csg-s_m0_csg)*K$5/4)</f>
        <v>0.065</v>
      </c>
      <c r="L20" s="53" t="n">
        <f aca="false">IF(L$5&gt;=4,s_m1_csg,s_m0_csg+(s_m1_csg-s_m0_csg)*L$5/4)</f>
        <v>0.065</v>
      </c>
      <c r="M20" s="53" t="n">
        <f aca="false">IF(M$5&gt;=4,s_m1_csg,s_m0_csg+(s_m1_csg-s_m0_csg)*M$5/4)</f>
        <v>0.065</v>
      </c>
    </row>
    <row r="21" customFormat="false" ht="15" hidden="false" customHeight="false" outlineLevel="0" collapsed="false">
      <c r="A21" s="34" t="s">
        <v>249</v>
      </c>
      <c r="B21" s="42" t="n">
        <f aca="false">SUM(D21:M21)</f>
        <v>2831189.3742365</v>
      </c>
      <c r="C21" s="52" t="s">
        <v>329</v>
      </c>
      <c r="D21" s="60" t="n">
        <f aca="false">D7+D9+D11+D13+D15+D17</f>
        <v>192000</v>
      </c>
      <c r="E21" s="60" t="n">
        <f aca="false">E7+E9+E11+E13+E15+E17</f>
        <v>227991</v>
      </c>
      <c r="F21" s="60" t="n">
        <f aca="false">F7+F9+F11+F13+F15+F17</f>
        <v>250326.56</v>
      </c>
      <c r="G21" s="60" t="n">
        <f aca="false">G7+G9+G11+G13+G15+G17</f>
        <v>268486.7092</v>
      </c>
      <c r="H21" s="60" t="n">
        <f aca="false">H7+H9+H11+H13+H15+H17</f>
        <v>282976.276744</v>
      </c>
      <c r="I21" s="60" t="n">
        <f aca="false">I7+I9+I11+I13+I15+I17</f>
        <v>297066.252401008</v>
      </c>
      <c r="J21" s="60" t="n">
        <f aca="false">J7+J9+J11+J13+J15+J17</f>
        <v>310497.632888647</v>
      </c>
      <c r="K21" s="60" t="n">
        <f aca="false">K7+K9+K11+K13+K15+K17</f>
        <v>323018.89007192</v>
      </c>
      <c r="L21" s="60" t="n">
        <f aca="false">L7+L9+L11+L13+L15+L17</f>
        <v>334397.070409322</v>
      </c>
      <c r="M21" s="60" t="n">
        <f aca="false">M7+M9+M11+M13+M15+M17</f>
        <v>344428.982521601</v>
      </c>
    </row>
    <row r="22" customFormat="false" ht="15" hidden="false" customHeight="false" outlineLevel="0" collapsed="false">
      <c r="A22" s="36" t="s">
        <v>258</v>
      </c>
      <c r="B22" s="35"/>
      <c r="C22" s="52" t="s">
        <v>330</v>
      </c>
      <c r="D22" s="53" t="n">
        <f aca="false">D21/rev_y0-1</f>
        <v>0.691063784812134</v>
      </c>
      <c r="E22" s="53" t="n">
        <f aca="false">E21/D21-1</f>
        <v>0.187453125</v>
      </c>
      <c r="F22" s="53" t="n">
        <f aca="false">F21/E21-1</f>
        <v>0.0979668495686232</v>
      </c>
      <c r="G22" s="53" t="n">
        <f aca="false">G21/F21-1</f>
        <v>0.0725458345291048</v>
      </c>
      <c r="H22" s="53" t="n">
        <f aca="false">H21/G21-1</f>
        <v>0.0539675412133958</v>
      </c>
      <c r="I22" s="53" t="n">
        <f aca="false">I21/H21-1</f>
        <v>0.0497920738060838</v>
      </c>
      <c r="J22" s="53" t="n">
        <f aca="false">J21/I21-1</f>
        <v>0.0452134174753305</v>
      </c>
      <c r="K22" s="53" t="n">
        <f aca="false">K21/J21-1</f>
        <v>0.0403264175213973</v>
      </c>
      <c r="L22" s="53" t="n">
        <f aca="false">L21/K21-1</f>
        <v>0.0352245044705237</v>
      </c>
      <c r="M22" s="53" t="n">
        <f aca="false">M21/L21-1</f>
        <v>0.03</v>
      </c>
    </row>
    <row r="23" customFormat="false" ht="15" hidden="false" customHeight="false" outlineLevel="0" collapsed="false">
      <c r="A23" s="36" t="s">
        <v>331</v>
      </c>
      <c r="B23" s="35"/>
      <c r="C23" s="52" t="s">
        <v>332</v>
      </c>
      <c r="D23" s="42" t="n">
        <f aca="false">D7*D18+D9*D19+D11*D19+D13*D20+D15*D20</f>
        <v>21214.7</v>
      </c>
      <c r="E23" s="42" t="n">
        <f aca="false">E7*E18+E9*E19+E11*E19+E13*E20+E15*E20</f>
        <v>23777.162</v>
      </c>
      <c r="F23" s="42" t="n">
        <f aca="false">F7*F18+F9*F19+F11*F19+F13*F20+F15*F20</f>
        <v>24898.22586</v>
      </c>
      <c r="G23" s="42" t="n">
        <f aca="false">G7*G18+G9*G19+G11*G19+G13*G20+G15*G20</f>
        <v>25694.0624576</v>
      </c>
      <c r="H23" s="42" t="n">
        <f aca="false">H7*H18+H9*H19+H11*H19+H13*H20+H15*H20</f>
        <v>26111.43713516</v>
      </c>
      <c r="I23" s="42" t="n">
        <f aca="false">I7*I18+I9*I19+I11*I19+I13*I20+I15*I20</f>
        <v>27353.2097848695</v>
      </c>
      <c r="J23" s="42" t="n">
        <f aca="false">J7*J18+J9*J19+J11*J19+J13*J20+J15*J20</f>
        <v>28543.2655381542</v>
      </c>
      <c r="K23" s="42" t="n">
        <f aca="false">K7*K18+K9*K19+K11*K19+K13*K20+K15*K20</f>
        <v>29661.4461419196</v>
      </c>
      <c r="L23" s="42" t="n">
        <f aca="false">L7*L18+L9*L19+L11*L19+L13*L20+L15*L20</f>
        <v>30689.0492241865</v>
      </c>
      <c r="M23" s="42" t="n">
        <f aca="false">M7*M18+M9*M19+M11*M19+M13*M20+M15*M20</f>
        <v>31609.7207009121</v>
      </c>
    </row>
    <row r="24" customFormat="false" ht="15" hidden="false" customHeight="false" outlineLevel="0" collapsed="false">
      <c r="A24" s="36" t="s">
        <v>333</v>
      </c>
      <c r="B24" s="35"/>
      <c r="C24" s="52" t="s">
        <v>334</v>
      </c>
      <c r="D24" s="42" t="n">
        <f aca="false">corp_pct*D21</f>
        <v>2304</v>
      </c>
      <c r="E24" s="42" t="n">
        <f aca="false">corp_pct*E21</f>
        <v>2735.892</v>
      </c>
      <c r="F24" s="42" t="n">
        <f aca="false">corp_pct*F21</f>
        <v>3003.91872</v>
      </c>
      <c r="G24" s="42" t="n">
        <f aca="false">corp_pct*G21</f>
        <v>3221.8405104</v>
      </c>
      <c r="H24" s="42" t="n">
        <f aca="false">corp_pct*H21</f>
        <v>3395.715320928</v>
      </c>
      <c r="I24" s="42" t="n">
        <f aca="false">corp_pct*I21</f>
        <v>3564.7950288121</v>
      </c>
      <c r="J24" s="42" t="n">
        <f aca="false">corp_pct*J21</f>
        <v>3725.97159466376</v>
      </c>
      <c r="K24" s="42" t="n">
        <f aca="false">corp_pct*K21</f>
        <v>3876.22668086304</v>
      </c>
      <c r="L24" s="42" t="n">
        <f aca="false">corp_pct*L21</f>
        <v>4012.76484491186</v>
      </c>
      <c r="M24" s="42" t="n">
        <f aca="false">corp_pct*M21</f>
        <v>4133.14779025922</v>
      </c>
    </row>
    <row r="25" customFormat="false" ht="15" hidden="false" customHeight="false" outlineLevel="0" collapsed="false">
      <c r="A25" s="34" t="s">
        <v>335</v>
      </c>
      <c r="B25" s="42" t="n">
        <f aca="false">SUM(D25:M25)</f>
        <v>235578.006351964</v>
      </c>
      <c r="C25" s="52" t="s">
        <v>336</v>
      </c>
      <c r="D25" s="60" t="n">
        <f aca="false">D23-D24</f>
        <v>18910.7</v>
      </c>
      <c r="E25" s="60" t="n">
        <f aca="false">E23-E24</f>
        <v>21041.27</v>
      </c>
      <c r="F25" s="60" t="n">
        <f aca="false">F23-F24</f>
        <v>21894.30714</v>
      </c>
      <c r="G25" s="60" t="n">
        <f aca="false">G23-G24</f>
        <v>22472.2219472</v>
      </c>
      <c r="H25" s="60" t="n">
        <f aca="false">H23-H24</f>
        <v>22715.721814232</v>
      </c>
      <c r="I25" s="60" t="n">
        <f aca="false">I23-I24</f>
        <v>23788.4147560574</v>
      </c>
      <c r="J25" s="60" t="n">
        <f aca="false">J23-J24</f>
        <v>24817.2939434904</v>
      </c>
      <c r="K25" s="60" t="n">
        <f aca="false">K23-K24</f>
        <v>25785.2194610566</v>
      </c>
      <c r="L25" s="60" t="n">
        <f aca="false">L23-L24</f>
        <v>26676.2843792746</v>
      </c>
      <c r="M25" s="60" t="n">
        <f aca="false">M23-M24</f>
        <v>27476.5729106529</v>
      </c>
    </row>
    <row r="26" customFormat="false" ht="15" hidden="false" customHeight="false" outlineLevel="0" collapsed="false">
      <c r="A26" s="36" t="s">
        <v>337</v>
      </c>
      <c r="B26" s="35"/>
      <c r="C26" s="52" t="s">
        <v>338</v>
      </c>
      <c r="D26" s="53" t="n">
        <f aca="false">D25/D21</f>
        <v>0.0984932291666667</v>
      </c>
      <c r="E26" s="53" t="n">
        <f aca="false">E25/E21</f>
        <v>0.0922899149527832</v>
      </c>
      <c r="F26" s="53" t="n">
        <f aca="false">F25/F21</f>
        <v>0.0874629809158085</v>
      </c>
      <c r="G26" s="53" t="n">
        <f aca="false">G25/G21</f>
        <v>0.0836995693908263</v>
      </c>
      <c r="H26" s="53" t="n">
        <f aca="false">H25/H21</f>
        <v>0.0802742974626888</v>
      </c>
      <c r="I26" s="53" t="n">
        <f aca="false">I25/I21</f>
        <v>0.0800778094576209</v>
      </c>
      <c r="J26" s="53" t="n">
        <f aca="false">J25/J21</f>
        <v>0.0799274819347515</v>
      </c>
      <c r="K26" s="53" t="n">
        <f aca="false">K25/K21</f>
        <v>0.0798257323443702</v>
      </c>
      <c r="L26" s="53" t="n">
        <f aca="false">L25/L21</f>
        <v>0.0797742765707285</v>
      </c>
      <c r="M26" s="53" t="n">
        <f aca="false">M25/M21</f>
        <v>0.0797742765707285</v>
      </c>
    </row>
    <row r="27" customFormat="false" ht="15" hidden="false" customHeight="false" outlineLevel="0" collapsed="false">
      <c r="A27" s="36" t="s">
        <v>339</v>
      </c>
      <c r="B27" s="35"/>
      <c r="C27" s="52" t="s">
        <v>340</v>
      </c>
      <c r="D27" s="53" t="n">
        <f aca="false">IF(D$5&gt;=4,tax_lr,tax_y1+(tax_lr-tax_y1)*D$5/4)</f>
        <v>0.18</v>
      </c>
      <c r="E27" s="53" t="n">
        <f aca="false">IF(E$5&gt;=4,tax_lr,tax_y1+(tax_lr-tax_y1)*E$5/4)</f>
        <v>0.185</v>
      </c>
      <c r="F27" s="53" t="n">
        <f aca="false">IF(F$5&gt;=4,tax_lr,tax_y1+(tax_lr-tax_y1)*F$5/4)</f>
        <v>0.19</v>
      </c>
      <c r="G27" s="53" t="n">
        <f aca="false">IF(G$5&gt;=4,tax_lr,tax_y1+(tax_lr-tax_y1)*G$5/4)</f>
        <v>0.195</v>
      </c>
      <c r="H27" s="53" t="n">
        <f aca="false">IF(H$5&gt;=4,tax_lr,tax_y1+(tax_lr-tax_y1)*H$5/4)</f>
        <v>0.2</v>
      </c>
      <c r="I27" s="53" t="n">
        <f aca="false">IF(I$5&gt;=4,tax_lr,tax_y1+(tax_lr-tax_y1)*I$5/4)</f>
        <v>0.2</v>
      </c>
      <c r="J27" s="53" t="n">
        <f aca="false">IF(J$5&gt;=4,tax_lr,tax_y1+(tax_lr-tax_y1)*J$5/4)</f>
        <v>0.2</v>
      </c>
      <c r="K27" s="53" t="n">
        <f aca="false">IF(K$5&gt;=4,tax_lr,tax_y1+(tax_lr-tax_y1)*K$5/4)</f>
        <v>0.2</v>
      </c>
      <c r="L27" s="53" t="n">
        <f aca="false">IF(L$5&gt;=4,tax_lr,tax_y1+(tax_lr-tax_y1)*L$5/4)</f>
        <v>0.2</v>
      </c>
      <c r="M27" s="53" t="n">
        <f aca="false">IF(M$5&gt;=4,tax_lr,tax_y1+(tax_lr-tax_y1)*M$5/4)</f>
        <v>0.2</v>
      </c>
    </row>
    <row r="28" customFormat="false" ht="15" hidden="false" customHeight="false" outlineLevel="0" collapsed="false">
      <c r="A28" s="36" t="s">
        <v>341</v>
      </c>
      <c r="B28" s="35"/>
      <c r="C28" s="52" t="s">
        <v>342</v>
      </c>
      <c r="D28" s="42" t="n">
        <f aca="false">D25*(1-D27)</f>
        <v>15506.774</v>
      </c>
      <c r="E28" s="42" t="n">
        <f aca="false">E25*(1-E27)</f>
        <v>17148.63505</v>
      </c>
      <c r="F28" s="42" t="n">
        <f aca="false">F25*(1-F27)</f>
        <v>17734.3887834</v>
      </c>
      <c r="G28" s="42" t="n">
        <f aca="false">G25*(1-G27)</f>
        <v>18090.138667496</v>
      </c>
      <c r="H28" s="42" t="n">
        <f aca="false">H25*(1-H27)</f>
        <v>18172.5774513856</v>
      </c>
      <c r="I28" s="42" t="n">
        <f aca="false">I25*(1-I27)</f>
        <v>19030.7318048459</v>
      </c>
      <c r="J28" s="42" t="n">
        <f aca="false">J25*(1-J27)</f>
        <v>19853.8351547923</v>
      </c>
      <c r="K28" s="42" t="n">
        <f aca="false">K25*(1-K27)</f>
        <v>20628.1755688453</v>
      </c>
      <c r="L28" s="42" t="n">
        <f aca="false">L25*(1-L27)</f>
        <v>21341.0275034197</v>
      </c>
      <c r="M28" s="42" t="n">
        <f aca="false">M25*(1-M27)</f>
        <v>21981.2583285223</v>
      </c>
    </row>
    <row r="29" customFormat="false" ht="15" hidden="false" customHeight="false" outlineLevel="0" collapsed="false">
      <c r="A29" s="36" t="s">
        <v>343</v>
      </c>
      <c r="B29" s="35"/>
      <c r="C29" s="52" t="s">
        <v>344</v>
      </c>
      <c r="D29" s="42" t="n">
        <f aca="false">da_pct*D21</f>
        <v>3168</v>
      </c>
      <c r="E29" s="42" t="n">
        <f aca="false">da_pct*E21</f>
        <v>3761.8515</v>
      </c>
      <c r="F29" s="42" t="n">
        <f aca="false">da_pct*F21</f>
        <v>4130.38824</v>
      </c>
      <c r="G29" s="42" t="n">
        <f aca="false">da_pct*G21</f>
        <v>4430.0307018</v>
      </c>
      <c r="H29" s="42" t="n">
        <f aca="false">da_pct*H21</f>
        <v>4669.108566276</v>
      </c>
      <c r="I29" s="42" t="n">
        <f aca="false">da_pct*I21</f>
        <v>4901.59316461663</v>
      </c>
      <c r="J29" s="42" t="n">
        <f aca="false">da_pct*J21</f>
        <v>5123.21094266267</v>
      </c>
      <c r="K29" s="42" t="n">
        <f aca="false">da_pct*K21</f>
        <v>5329.81168618668</v>
      </c>
      <c r="L29" s="42" t="n">
        <f aca="false">da_pct*L21</f>
        <v>5517.55166175381</v>
      </c>
      <c r="M29" s="42" t="n">
        <f aca="false">da_pct*M21</f>
        <v>5683.07821160642</v>
      </c>
    </row>
    <row r="30" customFormat="false" ht="15" hidden="false" customHeight="false" outlineLevel="0" collapsed="false">
      <c r="A30" s="36" t="s">
        <v>345</v>
      </c>
      <c r="B30" s="35"/>
      <c r="C30" s="52" t="s">
        <v>346</v>
      </c>
      <c r="D30" s="42" t="n">
        <f aca="false">capex_pct*D21</f>
        <v>4608</v>
      </c>
      <c r="E30" s="42" t="n">
        <f aca="false">capex_pct*E21</f>
        <v>5471.784</v>
      </c>
      <c r="F30" s="42" t="n">
        <f aca="false">capex_pct*F21</f>
        <v>6007.83744</v>
      </c>
      <c r="G30" s="42" t="n">
        <f aca="false">capex_pct*G21</f>
        <v>6443.6810208</v>
      </c>
      <c r="H30" s="42" t="n">
        <f aca="false">capex_pct*H21</f>
        <v>6791.430641856</v>
      </c>
      <c r="I30" s="42" t="n">
        <f aca="false">capex_pct*I21</f>
        <v>7129.59005762419</v>
      </c>
      <c r="J30" s="42" t="n">
        <f aca="false">capex_pct*J21</f>
        <v>7451.94318932752</v>
      </c>
      <c r="K30" s="42" t="n">
        <f aca="false">capex_pct*K21</f>
        <v>7752.45336172608</v>
      </c>
      <c r="L30" s="42" t="n">
        <f aca="false">capex_pct*L21</f>
        <v>8025.52968982372</v>
      </c>
      <c r="M30" s="42" t="n">
        <f aca="false">capex_pct*M21</f>
        <v>8266.29558051843</v>
      </c>
    </row>
    <row r="31" customFormat="false" ht="15" hidden="false" customHeight="false" outlineLevel="0" collapsed="false">
      <c r="A31" s="36" t="s">
        <v>347</v>
      </c>
      <c r="B31" s="35"/>
      <c r="C31" s="52" t="s">
        <v>348</v>
      </c>
      <c r="D31" s="42" t="n">
        <f aca="false">nwc_pct*(D21-rev_y0)</f>
        <v>-5492.34</v>
      </c>
      <c r="E31" s="42" t="n">
        <f aca="false">nwc_pct*(E21-D21)</f>
        <v>-2519.37</v>
      </c>
      <c r="F31" s="42" t="n">
        <f aca="false">nwc_pct*(F21-E21)</f>
        <v>-1563.4892</v>
      </c>
      <c r="G31" s="42" t="n">
        <f aca="false">nwc_pct*(G21-F21)</f>
        <v>-1271.210444</v>
      </c>
      <c r="H31" s="42" t="n">
        <f aca="false">nwc_pct*(H21-G21)</f>
        <v>-1014.26972808</v>
      </c>
      <c r="I31" s="42" t="n">
        <f aca="false">nwc_pct*(I21-H21)</f>
        <v>-986.298295990561</v>
      </c>
      <c r="J31" s="42" t="n">
        <f aca="false">nwc_pct*(J21-I21)</f>
        <v>-940.196634134705</v>
      </c>
      <c r="K31" s="42" t="n">
        <f aca="false">nwc_pct*(K21-J21)</f>
        <v>-876.488002829116</v>
      </c>
      <c r="L31" s="42" t="n">
        <f aca="false">nwc_pct*(L21-K21)</f>
        <v>-796.472623618139</v>
      </c>
      <c r="M31" s="42" t="n">
        <f aca="false">nwc_pct*(M21-L21)</f>
        <v>-702.233847859578</v>
      </c>
    </row>
    <row r="32" customFormat="false" ht="15" hidden="false" customHeight="false" outlineLevel="0" collapsed="false">
      <c r="A32" s="34" t="s">
        <v>349</v>
      </c>
      <c r="B32" s="42" t="n">
        <f aca="false">SUM(D32:M32)</f>
        <v>184415.990782445</v>
      </c>
      <c r="C32" s="52" t="s">
        <v>350</v>
      </c>
      <c r="D32" s="60" t="n">
        <f aca="false">D28+D29-D30-D31</f>
        <v>19559.114</v>
      </c>
      <c r="E32" s="60" t="n">
        <f aca="false">E28+E29-E30-E31</f>
        <v>17958.07255</v>
      </c>
      <c r="F32" s="60" t="n">
        <f aca="false">F28+F29-F30-F31</f>
        <v>17420.4287834</v>
      </c>
      <c r="G32" s="60" t="n">
        <f aca="false">G28+G29-G30-G31</f>
        <v>17347.698792496</v>
      </c>
      <c r="H32" s="60" t="n">
        <f aca="false">H28+H29-H30-H31</f>
        <v>17064.5251038856</v>
      </c>
      <c r="I32" s="60" t="n">
        <f aca="false">I28+I29-I30-I31</f>
        <v>17789.0332078289</v>
      </c>
      <c r="J32" s="60" t="n">
        <f aca="false">J28+J29-J30-J31</f>
        <v>18465.2995422622</v>
      </c>
      <c r="K32" s="60" t="n">
        <f aca="false">K28+K29-K30-K31</f>
        <v>19082.021896135</v>
      </c>
      <c r="L32" s="60" t="n">
        <f aca="false">L28+L29-L30-L31</f>
        <v>19629.5220989679</v>
      </c>
      <c r="M32" s="60" t="n">
        <f aca="false">M28+M29-M30-M31</f>
        <v>20100.2748074699</v>
      </c>
    </row>
    <row r="33" customFormat="false" ht="15" hidden="false" customHeight="false" outlineLevel="0" collapsed="false">
      <c r="A33" s="36" t="s">
        <v>351</v>
      </c>
      <c r="B33" s="35"/>
      <c r="C33" s="52" t="s">
        <v>352</v>
      </c>
      <c r="D33" s="42" t="n">
        <f aca="false">D25+D29</f>
        <v>22078.7</v>
      </c>
      <c r="E33" s="42" t="n">
        <f aca="false">E25+E29</f>
        <v>24803.1215</v>
      </c>
      <c r="F33" s="42" t="n">
        <f aca="false">F25+F29</f>
        <v>26024.69538</v>
      </c>
      <c r="G33" s="42" t="n">
        <f aca="false">G25+G29</f>
        <v>26902.252649</v>
      </c>
      <c r="H33" s="42" t="n">
        <f aca="false">H25+H29</f>
        <v>27384.830380508</v>
      </c>
      <c r="I33" s="42" t="n">
        <f aca="false">I25+I29</f>
        <v>28690.0079206741</v>
      </c>
      <c r="J33" s="42" t="n">
        <f aca="false">J25+J29</f>
        <v>29940.5048861531</v>
      </c>
      <c r="K33" s="42" t="n">
        <f aca="false">K25+K29</f>
        <v>31115.0311472433</v>
      </c>
      <c r="L33" s="42" t="n">
        <f aca="false">L25+L29</f>
        <v>32193.8360410284</v>
      </c>
      <c r="M33" s="42" t="n">
        <f aca="false">M25+M29</f>
        <v>33159.6511222593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B4"/>
    <pageSetUpPr fitToPage="tru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60"/>
    <col collapsed="false" customWidth="true" hidden="false" outlineLevel="0" max="12" min="4" style="0" width="12"/>
  </cols>
  <sheetData>
    <row r="1" customFormat="false" ht="25.5" hidden="false" customHeight="true" outlineLevel="0" collapsed="false">
      <c r="A1" s="25" t="s">
        <v>353</v>
      </c>
      <c r="B1" s="26"/>
      <c r="C1" s="49" t="str">
        <f aca="false">"Scenario: "&amp;scen_name&amp;"  ·  switch on Dashboard"</f>
        <v>Scenario: Base  ·  switch on Dashboard</v>
      </c>
      <c r="D1" s="1"/>
      <c r="E1" s="1"/>
      <c r="F1" s="1"/>
      <c r="G1" s="1"/>
      <c r="H1" s="1"/>
      <c r="I1" s="1"/>
      <c r="J1" s="1"/>
      <c r="K1" s="1"/>
      <c r="L1" s="1"/>
    </row>
    <row r="2" customFormat="false" ht="15.75" hidden="false" customHeight="true" outlineLevel="0" collapsed="false">
      <c r="A2" s="27" t="s">
        <v>354</v>
      </c>
      <c r="B2" s="28"/>
      <c r="C2" s="28"/>
      <c r="D2" s="29"/>
      <c r="E2" s="29"/>
      <c r="F2" s="29"/>
      <c r="G2" s="29"/>
      <c r="H2" s="29"/>
      <c r="I2" s="29"/>
      <c r="J2" s="29"/>
      <c r="K2" s="29"/>
      <c r="L2" s="29"/>
    </row>
    <row r="3" customFormat="false" ht="15" hidden="false" customHeight="false" outlineLevel="0" collapsed="false">
      <c r="A3" s="30"/>
      <c r="B3" s="30"/>
      <c r="C3" s="30"/>
    </row>
    <row r="4" customFormat="false" ht="15" hidden="false" customHeight="false" outlineLevel="0" collapsed="false">
      <c r="A4" s="31" t="s">
        <v>355</v>
      </c>
      <c r="B4" s="32" t="s">
        <v>5</v>
      </c>
      <c r="C4" s="32" t="s">
        <v>299</v>
      </c>
      <c r="D4" s="33"/>
      <c r="E4" s="33"/>
      <c r="F4" s="33"/>
      <c r="G4" s="33"/>
      <c r="H4" s="33"/>
      <c r="I4" s="33"/>
      <c r="J4" s="33"/>
      <c r="K4" s="33"/>
      <c r="L4" s="33"/>
    </row>
    <row r="5" customFormat="false" ht="15" hidden="false" customHeight="false" outlineLevel="0" collapsed="false">
      <c r="A5" s="34" t="s">
        <v>356</v>
      </c>
      <c r="B5" s="35"/>
      <c r="C5" s="35"/>
      <c r="D5" s="33"/>
      <c r="E5" s="33"/>
      <c r="F5" s="33"/>
      <c r="G5" s="33"/>
      <c r="H5" s="33"/>
      <c r="I5" s="33"/>
      <c r="J5" s="33"/>
      <c r="K5" s="33"/>
      <c r="L5" s="33"/>
    </row>
    <row r="6" customFormat="false" ht="15" hidden="false" customHeight="false" outlineLevel="0" collapsed="false">
      <c r="A6" s="36" t="s">
        <v>357</v>
      </c>
      <c r="B6" s="45" t="n">
        <f aca="false">rf</f>
        <v>0.051</v>
      </c>
      <c r="C6" s="52" t="s">
        <v>44</v>
      </c>
      <c r="D6" s="33"/>
      <c r="E6" s="33"/>
      <c r="F6" s="33"/>
      <c r="G6" s="33"/>
      <c r="H6" s="33"/>
      <c r="I6" s="33"/>
      <c r="J6" s="33"/>
      <c r="K6" s="33"/>
      <c r="L6" s="33"/>
    </row>
    <row r="7" customFormat="false" ht="15" hidden="false" customHeight="false" outlineLevel="0" collapsed="false">
      <c r="A7" s="36" t="s">
        <v>358</v>
      </c>
      <c r="B7" s="45" t="n">
        <f aca="false">rm</f>
        <v>0.0933</v>
      </c>
      <c r="C7" s="52" t="s">
        <v>44</v>
      </c>
      <c r="D7" s="33"/>
      <c r="E7" s="33"/>
      <c r="F7" s="33"/>
      <c r="G7" s="33"/>
      <c r="H7" s="33"/>
      <c r="I7" s="33"/>
      <c r="J7" s="33"/>
      <c r="K7" s="33"/>
      <c r="L7" s="33"/>
    </row>
    <row r="8" customFormat="false" ht="15" hidden="false" customHeight="false" outlineLevel="0" collapsed="false">
      <c r="A8" s="36" t="s">
        <v>359</v>
      </c>
      <c r="B8" s="45" t="n">
        <f aca="false">rm-rf</f>
        <v>0.0423</v>
      </c>
      <c r="C8" s="52" t="s">
        <v>360</v>
      </c>
      <c r="D8" s="33"/>
      <c r="E8" s="33"/>
      <c r="F8" s="33"/>
      <c r="G8" s="33"/>
      <c r="H8" s="33"/>
      <c r="I8" s="33"/>
      <c r="J8" s="33"/>
      <c r="K8" s="33"/>
      <c r="L8" s="33"/>
    </row>
    <row r="9" customFormat="false" ht="15" hidden="false" customHeight="false" outlineLevel="0" collapsed="false">
      <c r="A9" s="36" t="s">
        <v>361</v>
      </c>
      <c r="B9" s="48" t="n">
        <f aca="false">SLOPE(beta_rs,beta_rm)</f>
        <v>1.99315638723121</v>
      </c>
      <c r="C9" s="52" t="s">
        <v>362</v>
      </c>
      <c r="D9" s="33"/>
      <c r="E9" s="33"/>
      <c r="F9" s="33"/>
      <c r="G9" s="33"/>
      <c r="H9" s="33"/>
      <c r="I9" s="33"/>
      <c r="J9" s="33"/>
      <c r="K9" s="33"/>
      <c r="L9" s="33"/>
    </row>
    <row r="10" customFormat="false" ht="15" hidden="false" customHeight="false" outlineLevel="0" collapsed="false">
      <c r="A10" s="36" t="s">
        <v>363</v>
      </c>
      <c r="B10" s="48" t="n">
        <f aca="false">RSQ(beta_rs,beta_rm)</f>
        <v>0.242590333919955</v>
      </c>
      <c r="C10" s="52" t="s">
        <v>364</v>
      </c>
      <c r="D10" s="33"/>
      <c r="E10" s="33"/>
      <c r="F10" s="33"/>
      <c r="G10" s="33"/>
      <c r="H10" s="33"/>
      <c r="I10" s="33"/>
      <c r="J10" s="33"/>
      <c r="K10" s="33"/>
      <c r="L10" s="33"/>
    </row>
    <row r="11" customFormat="false" ht="15" hidden="false" customHeight="false" outlineLevel="0" collapsed="false">
      <c r="A11" s="36" t="s">
        <v>365</v>
      </c>
      <c r="B11" s="48" t="n">
        <f aca="false">STEYX(beta_rs,beta_rm)/SQRT(DEVSQ(beta_rm))</f>
        <v>0.157817580094838</v>
      </c>
      <c r="C11" s="52" t="s">
        <v>366</v>
      </c>
      <c r="D11" s="33"/>
      <c r="E11" s="33"/>
      <c r="F11" s="33"/>
      <c r="G11" s="33"/>
      <c r="H11" s="33"/>
      <c r="I11" s="33"/>
      <c r="J11" s="33"/>
      <c r="K11" s="33"/>
      <c r="L11" s="33"/>
    </row>
    <row r="12" customFormat="false" ht="15" hidden="false" customHeight="false" outlineLevel="0" collapsed="false">
      <c r="A12" s="36" t="s">
        <v>367</v>
      </c>
      <c r="B12" s="48" t="n">
        <f aca="false">COUNT(beta_rs)</f>
        <v>500</v>
      </c>
      <c r="C12" s="52"/>
      <c r="D12" s="33"/>
      <c r="E12" s="33"/>
      <c r="F12" s="33"/>
      <c r="G12" s="33"/>
      <c r="H12" s="33"/>
      <c r="I12" s="33"/>
      <c r="J12" s="33"/>
      <c r="K12" s="33"/>
      <c r="L12" s="33"/>
    </row>
    <row r="13" customFormat="false" ht="15" hidden="false" customHeight="false" outlineLevel="0" collapsed="false">
      <c r="A13" s="36" t="s">
        <v>368</v>
      </c>
      <c r="B13" s="48" t="n">
        <f aca="false">IF(ISNUMBER(beta_reg),beta_reg,beta_daily_in)</f>
        <v>1.99315638723121</v>
      </c>
      <c r="C13" s="52"/>
      <c r="D13" s="33"/>
      <c r="E13" s="33"/>
      <c r="F13" s="33"/>
      <c r="G13" s="33"/>
      <c r="H13" s="33"/>
      <c r="I13" s="33"/>
      <c r="J13" s="33"/>
      <c r="K13" s="33"/>
      <c r="L13" s="33"/>
    </row>
    <row r="14" customFormat="false" ht="15" hidden="false" customHeight="false" outlineLevel="0" collapsed="false">
      <c r="A14" s="34" t="s">
        <v>369</v>
      </c>
      <c r="B14" s="61" t="n">
        <f aca="false">IF(beta_src="raw",beta_raw,IF(beta_src="bottom_up",beta_bu,IF(beta_src="custom",beta_custom,IF(AND(beta_src="daily",ISNUMBER(beta_daily)),beta_daily,IF(AND(beta_src="daily_adj",ISNUMBER(beta_daily)),0.67*beta_daily+0.33,IF(AND(beta_src="crsp_monthly",ISNUMBER(beta_crsp)),beta_crsp,IF(AND(beta_src="crsp_monthly_adj",ISNUMBER(beta_crsp)),0.67*beta_crsp+0.33,0.67*beta_raw+0.33)))))))</f>
        <v>1.66541477944491</v>
      </c>
      <c r="C14" s="52" t="s">
        <v>370</v>
      </c>
      <c r="D14" s="33"/>
      <c r="E14" s="33"/>
      <c r="F14" s="33"/>
      <c r="G14" s="33"/>
      <c r="H14" s="33"/>
      <c r="I14" s="33"/>
      <c r="J14" s="33"/>
      <c r="K14" s="33"/>
      <c r="L14" s="33"/>
    </row>
    <row r="15" customFormat="false" ht="15" hidden="false" customHeight="false" outlineLevel="0" collapsed="false">
      <c r="A15" s="36" t="s">
        <v>371</v>
      </c>
      <c r="B15" s="45" t="n">
        <f aca="false">beta_used*mrp</f>
        <v>0.0704470451705196</v>
      </c>
      <c r="C15" s="52" t="s">
        <v>372</v>
      </c>
      <c r="D15" s="33"/>
      <c r="E15" s="33"/>
      <c r="F15" s="33"/>
      <c r="G15" s="33"/>
      <c r="H15" s="33"/>
      <c r="I15" s="33"/>
      <c r="J15" s="33"/>
      <c r="K15" s="33"/>
      <c r="L15" s="33"/>
    </row>
    <row r="16" customFormat="false" ht="15" hidden="false" customHeight="false" outlineLevel="0" collapsed="false">
      <c r="A16" s="34" t="s">
        <v>373</v>
      </c>
      <c r="B16" s="62" t="n">
        <f aca="false">rf+eq_prem+crp+size_prem</f>
        <v>0.12144704517052</v>
      </c>
      <c r="C16" s="52" t="s">
        <v>374</v>
      </c>
      <c r="D16" s="33"/>
      <c r="E16" s="33"/>
      <c r="F16" s="33"/>
      <c r="G16" s="33"/>
      <c r="H16" s="33"/>
      <c r="I16" s="33"/>
      <c r="J16" s="33"/>
      <c r="K16" s="33"/>
      <c r="L16" s="33"/>
    </row>
    <row r="17" customFormat="false" ht="15" hidden="false" customHeight="false" outlineLevel="0" collapsed="false">
      <c r="A17" s="34" t="s">
        <v>375</v>
      </c>
      <c r="B17" s="35"/>
      <c r="C17" s="35"/>
      <c r="D17" s="33"/>
      <c r="E17" s="33"/>
      <c r="F17" s="33"/>
      <c r="G17" s="33"/>
      <c r="H17" s="33"/>
      <c r="I17" s="33"/>
      <c r="J17" s="33"/>
      <c r="K17" s="33"/>
      <c r="L17" s="33"/>
    </row>
    <row r="18" customFormat="false" ht="15" hidden="false" customHeight="false" outlineLevel="0" collapsed="false">
      <c r="A18" s="36" t="s">
        <v>376</v>
      </c>
      <c r="B18" s="45" t="n">
        <f aca="false">kd*(1-t_marg)</f>
        <v>0.048506</v>
      </c>
      <c r="C18" s="52"/>
      <c r="D18" s="33"/>
      <c r="E18" s="33"/>
      <c r="F18" s="33"/>
      <c r="G18" s="33"/>
      <c r="H18" s="33"/>
      <c r="I18" s="33"/>
      <c r="J18" s="33"/>
      <c r="K18" s="33"/>
      <c r="L18" s="33"/>
    </row>
    <row r="19" customFormat="false" ht="15" hidden="false" customHeight="false" outlineLevel="0" collapsed="false">
      <c r="A19" s="36" t="s">
        <v>377</v>
      </c>
      <c r="B19" s="42" t="n">
        <f aca="false">px_now*(shares_basic+dilution)</f>
        <v>305719.9959</v>
      </c>
      <c r="C19" s="52" t="s">
        <v>378</v>
      </c>
      <c r="D19" s="33"/>
      <c r="E19" s="33"/>
      <c r="F19" s="33"/>
      <c r="G19" s="33"/>
      <c r="H19" s="33"/>
      <c r="I19" s="33"/>
      <c r="J19" s="33"/>
      <c r="K19" s="33"/>
      <c r="L19" s="33"/>
    </row>
    <row r="20" customFormat="false" ht="15" hidden="false" customHeight="false" outlineLevel="0" collapsed="false">
      <c r="A20" s="36" t="s">
        <v>379</v>
      </c>
      <c r="B20" s="42" t="n">
        <f aca="false">core_debt+leases</f>
        <v>25575</v>
      </c>
      <c r="C20" s="52" t="s">
        <v>380</v>
      </c>
      <c r="D20" s="33"/>
      <c r="E20" s="33"/>
      <c r="F20" s="33"/>
      <c r="G20" s="33"/>
      <c r="H20" s="33"/>
      <c r="I20" s="33"/>
      <c r="J20" s="33"/>
      <c r="K20" s="33"/>
      <c r="L20" s="33"/>
    </row>
    <row r="21" customFormat="false" ht="15" hidden="false" customHeight="false" outlineLevel="0" collapsed="false">
      <c r="A21" s="36" t="s">
        <v>381</v>
      </c>
      <c r="B21" s="45" t="n">
        <f aca="false">e_val/(e_val+d_val)</f>
        <v>0.922802939022599</v>
      </c>
      <c r="C21" s="52"/>
      <c r="D21" s="33"/>
      <c r="E21" s="33"/>
      <c r="F21" s="33"/>
      <c r="G21" s="33"/>
      <c r="H21" s="33"/>
      <c r="I21" s="33"/>
      <c r="J21" s="33"/>
      <c r="K21" s="33"/>
      <c r="L21" s="33"/>
    </row>
    <row r="22" customFormat="false" ht="15" hidden="false" customHeight="false" outlineLevel="0" collapsed="false">
      <c r="A22" s="36" t="s">
        <v>382</v>
      </c>
      <c r="B22" s="45" t="n">
        <f aca="false">d_val/(e_val+d_val)</f>
        <v>0.0771970609774007</v>
      </c>
      <c r="C22" s="52"/>
      <c r="D22" s="33"/>
      <c r="E22" s="33"/>
      <c r="F22" s="33"/>
      <c r="G22" s="33"/>
      <c r="H22" s="33"/>
      <c r="I22" s="33"/>
      <c r="J22" s="33"/>
      <c r="K22" s="33"/>
      <c r="L22" s="33"/>
    </row>
    <row r="23" customFormat="false" ht="15" hidden="false" customHeight="false" outlineLevel="0" collapsed="false">
      <c r="A23" s="34" t="s">
        <v>383</v>
      </c>
      <c r="B23" s="62" t="n">
        <f aca="false">w_e*ke+w_d*kd_after</f>
        <v>0.115816210858736</v>
      </c>
      <c r="C23" s="52" t="s">
        <v>384</v>
      </c>
      <c r="D23" s="33"/>
      <c r="E23" s="33"/>
      <c r="F23" s="33"/>
      <c r="G23" s="33"/>
      <c r="H23" s="33"/>
      <c r="I23" s="33"/>
      <c r="J23" s="33"/>
      <c r="K23" s="33"/>
      <c r="L23" s="33"/>
    </row>
    <row r="24" customFormat="false" ht="15" hidden="false" customHeight="false" outlineLevel="0" collapsed="false">
      <c r="A24" s="34" t="s">
        <v>385</v>
      </c>
      <c r="B24" s="62" t="n">
        <f aca="false">wacc</f>
        <v>0.115816210858736</v>
      </c>
      <c r="C24" s="35"/>
      <c r="D24" s="33"/>
      <c r="E24" s="33"/>
      <c r="F24" s="33"/>
      <c r="G24" s="33"/>
      <c r="H24" s="33"/>
      <c r="I24" s="33"/>
      <c r="J24" s="33"/>
      <c r="K24" s="33"/>
      <c r="L24"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B4"/>
    <pageSetUpPr fitToPage="tru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44"/>
    <col collapsed="false" customWidth="true" hidden="false" outlineLevel="0" max="13" min="4" style="0" width="12"/>
  </cols>
  <sheetData>
    <row r="1" customFormat="false" ht="25.5" hidden="false" customHeight="true" outlineLevel="0" collapsed="false">
      <c r="A1" s="25" t="s">
        <v>386</v>
      </c>
      <c r="B1" s="26"/>
      <c r="C1" s="49" t="str">
        <f aca="false">"Scenario: "&amp;scen_name&amp;"  ·  switch on Dashboard"</f>
        <v>Scenario: Base  ·  switch on Dashboard</v>
      </c>
      <c r="D1" s="26"/>
      <c r="E1" s="26"/>
      <c r="F1" s="26"/>
      <c r="G1" s="26"/>
      <c r="H1" s="26"/>
      <c r="I1" s="26"/>
      <c r="J1" s="26"/>
      <c r="K1" s="26"/>
      <c r="L1" s="26"/>
      <c r="M1" s="26"/>
    </row>
    <row r="2" customFormat="false" ht="15.75" hidden="false" customHeight="true" outlineLevel="0" collapsed="false">
      <c r="A2" s="27" t="s">
        <v>387</v>
      </c>
      <c r="B2" s="28"/>
      <c r="C2" s="28"/>
      <c r="D2" s="28"/>
      <c r="E2" s="28"/>
      <c r="F2" s="28"/>
      <c r="G2" s="28"/>
      <c r="H2" s="28"/>
      <c r="I2" s="28"/>
      <c r="J2" s="28"/>
      <c r="K2" s="28"/>
      <c r="L2" s="28"/>
      <c r="M2" s="28"/>
    </row>
    <row r="3" customFormat="false" ht="15" hidden="false" customHeight="false" outlineLevel="0" collapsed="false">
      <c r="A3" s="30"/>
      <c r="B3" s="30"/>
      <c r="C3" s="30"/>
      <c r="D3" s="30"/>
      <c r="E3" s="30"/>
      <c r="F3" s="30"/>
      <c r="G3" s="30"/>
      <c r="H3" s="30"/>
      <c r="I3" s="30"/>
      <c r="J3" s="30"/>
      <c r="K3" s="30"/>
      <c r="L3" s="30"/>
      <c r="M3" s="30"/>
    </row>
    <row r="4" customFormat="false" ht="15" hidden="false" customHeight="false" outlineLevel="0" collapsed="false">
      <c r="A4" s="31" t="s">
        <v>244</v>
      </c>
      <c r="B4" s="32" t="s">
        <v>298</v>
      </c>
      <c r="C4" s="32" t="s">
        <v>299</v>
      </c>
      <c r="D4" s="32" t="s">
        <v>300</v>
      </c>
      <c r="E4" s="32" t="s">
        <v>301</v>
      </c>
      <c r="F4" s="32" t="s">
        <v>302</v>
      </c>
      <c r="G4" s="32" t="s">
        <v>303</v>
      </c>
      <c r="H4" s="32" t="s">
        <v>304</v>
      </c>
      <c r="I4" s="32" t="s">
        <v>305</v>
      </c>
      <c r="J4" s="32" t="s">
        <v>306</v>
      </c>
      <c r="K4" s="32" t="s">
        <v>307</v>
      </c>
      <c r="L4" s="32" t="s">
        <v>308</v>
      </c>
      <c r="M4" s="32" t="s">
        <v>309</v>
      </c>
    </row>
    <row r="5" customFormat="false" ht="15" hidden="false" customHeight="false" outlineLevel="0" collapsed="false">
      <c r="A5" s="52" t="s">
        <v>310</v>
      </c>
      <c r="B5" s="35"/>
      <c r="C5" s="35"/>
      <c r="D5" s="52" t="n">
        <v>0</v>
      </c>
      <c r="E5" s="52" t="n">
        <v>1</v>
      </c>
      <c r="F5" s="52" t="n">
        <v>2</v>
      </c>
      <c r="G5" s="52" t="n">
        <v>3</v>
      </c>
      <c r="H5" s="52" t="n">
        <v>4</v>
      </c>
      <c r="I5" s="52" t="n">
        <v>5</v>
      </c>
      <c r="J5" s="52" t="n">
        <v>6</v>
      </c>
      <c r="K5" s="52" t="n">
        <v>7</v>
      </c>
      <c r="L5" s="52" t="n">
        <v>8</v>
      </c>
      <c r="M5" s="52" t="n">
        <v>9</v>
      </c>
    </row>
    <row r="6" customFormat="false" ht="15" hidden="false" customHeight="false" outlineLevel="0" collapsed="false">
      <c r="A6" s="36" t="s">
        <v>388</v>
      </c>
      <c r="B6" s="35"/>
      <c r="C6" s="52" t="s">
        <v>389</v>
      </c>
      <c r="D6" s="63" t="n">
        <f aca="false">'2 Cash flows'!D32</f>
        <v>19559.114</v>
      </c>
      <c r="E6" s="63" t="n">
        <f aca="false">'2 Cash flows'!E32</f>
        <v>17958.07255</v>
      </c>
      <c r="F6" s="63" t="n">
        <f aca="false">'2 Cash flows'!F32</f>
        <v>17420.4287834</v>
      </c>
      <c r="G6" s="63" t="n">
        <f aca="false">'2 Cash flows'!G32</f>
        <v>17347.698792496</v>
      </c>
      <c r="H6" s="63" t="n">
        <f aca="false">'2 Cash flows'!H32</f>
        <v>17064.5251038856</v>
      </c>
      <c r="I6" s="63" t="n">
        <f aca="false">'2 Cash flows'!I32</f>
        <v>17789.0332078289</v>
      </c>
      <c r="J6" s="63" t="n">
        <f aca="false">'2 Cash flows'!J32</f>
        <v>18465.2995422622</v>
      </c>
      <c r="K6" s="63" t="n">
        <f aca="false">'2 Cash flows'!K32</f>
        <v>19082.021896135</v>
      </c>
      <c r="L6" s="63" t="n">
        <f aca="false">'2 Cash flows'!L32</f>
        <v>19629.5220989679</v>
      </c>
      <c r="M6" s="63" t="n">
        <f aca="false">'2 Cash flows'!M32</f>
        <v>20100.2748074699</v>
      </c>
    </row>
    <row r="7" customFormat="false" ht="15" hidden="false" customHeight="false" outlineLevel="0" collapsed="false">
      <c r="A7" s="36" t="s">
        <v>390</v>
      </c>
      <c r="B7" s="35"/>
      <c r="C7" s="52" t="s">
        <v>391</v>
      </c>
      <c r="D7" s="53" t="n">
        <f aca="false">stub</f>
        <v>0.527</v>
      </c>
      <c r="E7" s="53" t="n">
        <f aca="false">1</f>
        <v>1</v>
      </c>
      <c r="F7" s="53" t="n">
        <f aca="false">1</f>
        <v>1</v>
      </c>
      <c r="G7" s="53" t="n">
        <f aca="false">1</f>
        <v>1</v>
      </c>
      <c r="H7" s="53" t="n">
        <f aca="false">1</f>
        <v>1</v>
      </c>
      <c r="I7" s="53" t="n">
        <f aca="false">1</f>
        <v>1</v>
      </c>
      <c r="J7" s="53" t="n">
        <f aca="false">1</f>
        <v>1</v>
      </c>
      <c r="K7" s="53" t="n">
        <f aca="false">1</f>
        <v>1</v>
      </c>
      <c r="L7" s="53" t="n">
        <f aca="false">1</f>
        <v>1</v>
      </c>
      <c r="M7" s="53" t="n">
        <f aca="false">1</f>
        <v>1</v>
      </c>
    </row>
    <row r="8" customFormat="false" ht="15" hidden="false" customHeight="false" outlineLevel="0" collapsed="false">
      <c r="A8" s="36" t="s">
        <v>392</v>
      </c>
      <c r="B8" s="35"/>
      <c r="C8" s="52" t="s">
        <v>393</v>
      </c>
      <c r="D8" s="42" t="n">
        <f aca="false">D6*D7</f>
        <v>10307.653078</v>
      </c>
      <c r="E8" s="42" t="n">
        <f aca="false">E6*E7</f>
        <v>17958.07255</v>
      </c>
      <c r="F8" s="42" t="n">
        <f aca="false">F6*F7</f>
        <v>17420.4287834</v>
      </c>
      <c r="G8" s="42" t="n">
        <f aca="false">G6*G7</f>
        <v>17347.698792496</v>
      </c>
      <c r="H8" s="42" t="n">
        <f aca="false">H6*H7</f>
        <v>17064.5251038856</v>
      </c>
      <c r="I8" s="42" t="n">
        <f aca="false">I6*I7</f>
        <v>17789.0332078289</v>
      </c>
      <c r="J8" s="42" t="n">
        <f aca="false">J6*J7</f>
        <v>18465.2995422622</v>
      </c>
      <c r="K8" s="42" t="n">
        <f aca="false">K6*K7</f>
        <v>19082.021896135</v>
      </c>
      <c r="L8" s="42" t="n">
        <f aca="false">L6*L7</f>
        <v>19629.5220989679</v>
      </c>
      <c r="M8" s="42" t="n">
        <f aca="false">M6*M7</f>
        <v>20100.2748074699</v>
      </c>
    </row>
    <row r="9" customFormat="false" ht="15" hidden="false" customHeight="false" outlineLevel="0" collapsed="false">
      <c r="A9" s="36" t="s">
        <v>394</v>
      </c>
      <c r="B9" s="35"/>
      <c r="C9" s="52" t="s">
        <v>395</v>
      </c>
      <c r="D9" s="48" t="n">
        <f aca="false">MAX(IF(midyear=1,first_period+D$5-0.5*D7,first_period+D$5),0)</f>
        <v>0.024</v>
      </c>
      <c r="E9" s="48" t="n">
        <f aca="false">MAX(IF(midyear=1,first_period+E$5-0.5*E7,first_period+E$5),0)</f>
        <v>0.7875</v>
      </c>
      <c r="F9" s="48" t="n">
        <f aca="false">MAX(IF(midyear=1,first_period+F$5-0.5*F7,first_period+F$5),0)</f>
        <v>1.7875</v>
      </c>
      <c r="G9" s="48" t="n">
        <f aca="false">MAX(IF(midyear=1,first_period+G$5-0.5*G7,first_period+G$5),0)</f>
        <v>2.7875</v>
      </c>
      <c r="H9" s="48" t="n">
        <f aca="false">MAX(IF(midyear=1,first_period+H$5-0.5*H7,first_period+H$5),0)</f>
        <v>3.7875</v>
      </c>
      <c r="I9" s="48" t="n">
        <f aca="false">MAX(IF(midyear=1,first_period+I$5-0.5*I7,first_period+I$5),0)</f>
        <v>4.7875</v>
      </c>
      <c r="J9" s="48" t="n">
        <f aca="false">MAX(IF(midyear=1,first_period+J$5-0.5*J7,first_period+J$5),0)</f>
        <v>5.7875</v>
      </c>
      <c r="K9" s="48" t="n">
        <f aca="false">MAX(IF(midyear=1,first_period+K$5-0.5*K7,first_period+K$5),0)</f>
        <v>6.7875</v>
      </c>
      <c r="L9" s="48" t="n">
        <f aca="false">MAX(IF(midyear=1,first_period+L$5-0.5*L7,first_period+L$5),0)</f>
        <v>7.7875</v>
      </c>
      <c r="M9" s="48" t="n">
        <f aca="false">MAX(IF(midyear=1,first_period+M$5-0.5*M7,first_period+M$5),0)</f>
        <v>8.7875</v>
      </c>
    </row>
    <row r="10" customFormat="false" ht="15" hidden="false" customHeight="false" outlineLevel="0" collapsed="false">
      <c r="A10" s="36" t="s">
        <v>396</v>
      </c>
      <c r="B10" s="35"/>
      <c r="C10" s="52" t="s">
        <v>397</v>
      </c>
      <c r="D10" s="64" t="n">
        <f aca="false">(1+disc_rate)^(-D9)</f>
        <v>0.997373387643697</v>
      </c>
      <c r="E10" s="64" t="n">
        <f aca="false">(1+disc_rate)^(-E9)</f>
        <v>0.917319815450824</v>
      </c>
      <c r="F10" s="64" t="n">
        <f aca="false">(1+disc_rate)^(-F9)</f>
        <v>0.822106549917259</v>
      </c>
      <c r="G10" s="64" t="n">
        <f aca="false">(1+disc_rate)^(-G9)</f>
        <v>0.73677595101846</v>
      </c>
      <c r="H10" s="64" t="n">
        <f aca="false">(1+disc_rate)^(-H9)</f>
        <v>0.660302246775421</v>
      </c>
      <c r="I10" s="64" t="n">
        <f aca="false">(1+disc_rate)^(-I9)</f>
        <v>0.591766135273523</v>
      </c>
      <c r="J10" s="64" t="n">
        <f aca="false">(1+disc_rate)^(-J9)</f>
        <v>0.530343733595785</v>
      </c>
      <c r="K10" s="64" t="n">
        <f aca="false">(1+disc_rate)^(-K9)</f>
        <v>0.475296673802248</v>
      </c>
      <c r="L10" s="64" t="n">
        <f aca="false">(1+disc_rate)^(-L9)</f>
        <v>0.425963226897786</v>
      </c>
      <c r="M10" s="64" t="n">
        <f aca="false">(1+disc_rate)^(-M9)</f>
        <v>0.381750348088207</v>
      </c>
    </row>
    <row r="11" customFormat="false" ht="15" hidden="false" customHeight="false" outlineLevel="0" collapsed="false">
      <c r="A11" s="34" t="s">
        <v>398</v>
      </c>
      <c r="B11" s="60" t="n">
        <f aca="false">SUM(D11:M11)</f>
        <v>110548.701163424</v>
      </c>
      <c r="C11" s="52" t="s">
        <v>399</v>
      </c>
      <c r="D11" s="60" t="n">
        <f aca="false">D8*D10</f>
        <v>10280.5788690608</v>
      </c>
      <c r="E11" s="60" t="n">
        <f aca="false">E8*E10</f>
        <v>16473.2957974185</v>
      </c>
      <c r="F11" s="60" t="n">
        <f aca="false">F8*F10</f>
        <v>14321.4486052003</v>
      </c>
      <c r="G11" s="60" t="n">
        <f aca="false">G8*G10</f>
        <v>12781.367275823</v>
      </c>
      <c r="H11" s="60" t="n">
        <f aca="false">H8*H10</f>
        <v>11267.7442662512</v>
      </c>
      <c r="I11" s="60" t="n">
        <f aca="false">I8*I10</f>
        <v>10526.9474316493</v>
      </c>
      <c r="J11" s="60" t="n">
        <f aca="false">J8*J10</f>
        <v>9792.95590120785</v>
      </c>
      <c r="K11" s="60" t="n">
        <f aca="false">K8*K10</f>
        <v>9069.62153665462</v>
      </c>
      <c r="L11" s="60" t="n">
        <f aca="false">L8*L10</f>
        <v>8361.45457573778</v>
      </c>
      <c r="M11" s="60" t="n">
        <f aca="false">M8*M10</f>
        <v>7673.28690442023</v>
      </c>
    </row>
    <row r="12" customFormat="false" ht="15" hidden="false" customHeight="false" outlineLevel="0" collapsed="false">
      <c r="A12" s="30"/>
      <c r="B12" s="30"/>
      <c r="C12" s="30"/>
      <c r="D12" s="30"/>
      <c r="E12" s="30"/>
      <c r="F12" s="30"/>
      <c r="G12" s="30"/>
      <c r="H12" s="30"/>
      <c r="I12" s="30"/>
      <c r="J12" s="30"/>
      <c r="K12" s="30"/>
      <c r="L12" s="30"/>
      <c r="M12" s="30"/>
    </row>
    <row r="13" customFormat="false" ht="15" hidden="false" customHeight="false" outlineLevel="0" collapsed="false">
      <c r="A13" s="36" t="s">
        <v>400</v>
      </c>
      <c r="B13" s="65" t="n">
        <f aca="false">first_period+9</f>
        <v>9.2875</v>
      </c>
      <c r="C13" s="52"/>
      <c r="D13" s="35"/>
      <c r="E13" s="35"/>
      <c r="F13" s="35"/>
      <c r="G13" s="35"/>
      <c r="H13" s="35"/>
      <c r="I13" s="35"/>
      <c r="J13" s="35"/>
      <c r="K13" s="35"/>
      <c r="L13" s="35"/>
      <c r="M13" s="35"/>
    </row>
    <row r="14" customFormat="false" ht="15" hidden="false" customHeight="false" outlineLevel="0" collapsed="false">
      <c r="A14" s="36" t="s">
        <v>401</v>
      </c>
      <c r="B14" s="42" t="n">
        <f aca="false">cf_last_nopat*(1+g)*(1-g/ronic)/(disc_rate-g)</f>
        <v>224253.570205987</v>
      </c>
      <c r="C14" s="52" t="s">
        <v>402</v>
      </c>
      <c r="D14" s="35"/>
      <c r="E14" s="35"/>
      <c r="F14" s="35"/>
      <c r="G14" s="35"/>
      <c r="H14" s="35"/>
      <c r="I14" s="35"/>
      <c r="J14" s="35"/>
      <c r="K14" s="35"/>
      <c r="L14" s="35"/>
      <c r="M14" s="35"/>
    </row>
    <row r="15" customFormat="false" ht="15" hidden="false" customHeight="false" outlineLevel="0" collapsed="false">
      <c r="A15" s="36" t="s">
        <v>403</v>
      </c>
      <c r="B15" s="42" t="n">
        <f aca="false">tv_gordon*(1+disc_rate)^(-IF(midyear=1,t_n-0.5,t_n))</f>
        <v>85608.8784861586</v>
      </c>
      <c r="C15" s="52"/>
      <c r="D15" s="35"/>
      <c r="E15" s="35"/>
      <c r="F15" s="35"/>
      <c r="G15" s="35"/>
      <c r="H15" s="35"/>
      <c r="I15" s="35"/>
      <c r="J15" s="35"/>
      <c r="K15" s="35"/>
      <c r="L15" s="35"/>
      <c r="M15" s="35"/>
    </row>
    <row r="16" customFormat="false" ht="15" hidden="false" customHeight="false" outlineLevel="0" collapsed="false">
      <c r="A16" s="36" t="s">
        <v>404</v>
      </c>
      <c r="B16" s="42" t="n">
        <f aca="false">exit_mult*cf_last_ebitda</f>
        <v>397915.813467111</v>
      </c>
      <c r="C16" s="52" t="s">
        <v>405</v>
      </c>
      <c r="D16" s="35"/>
      <c r="E16" s="35"/>
      <c r="F16" s="35"/>
      <c r="G16" s="35"/>
      <c r="H16" s="35"/>
      <c r="I16" s="35"/>
      <c r="J16" s="35"/>
      <c r="K16" s="35"/>
      <c r="L16" s="35"/>
      <c r="M16" s="35"/>
    </row>
    <row r="17" customFormat="false" ht="15" hidden="false" customHeight="false" outlineLevel="0" collapsed="false">
      <c r="A17" s="36" t="s">
        <v>406</v>
      </c>
      <c r="B17" s="42" t="n">
        <f aca="false">tv_exit*(1+disc_rate)^(-t_n)</f>
        <v>143805.10617219</v>
      </c>
      <c r="C17" s="52"/>
      <c r="D17" s="35"/>
      <c r="E17" s="35"/>
      <c r="F17" s="35"/>
      <c r="G17" s="35"/>
      <c r="H17" s="35"/>
      <c r="I17" s="35"/>
      <c r="J17" s="35"/>
      <c r="K17" s="35"/>
      <c r="L17" s="35"/>
      <c r="M17" s="35"/>
    </row>
    <row r="18" customFormat="false" ht="15" hidden="false" customHeight="false" outlineLevel="0" collapsed="false">
      <c r="A18" s="34" t="s">
        <v>407</v>
      </c>
      <c r="B18" s="42" t="n">
        <f aca="false">IF(tv_method="exit",pv_exit,pv_gordon)</f>
        <v>85608.8784861586</v>
      </c>
      <c r="C18" s="52" t="s">
        <v>408</v>
      </c>
      <c r="D18" s="35"/>
      <c r="E18" s="35"/>
      <c r="F18" s="35"/>
      <c r="G18" s="35"/>
      <c r="H18" s="35"/>
      <c r="I18" s="35"/>
      <c r="J18" s="35"/>
      <c r="K18" s="35"/>
      <c r="L18" s="35"/>
      <c r="M18" s="35"/>
    </row>
    <row r="19" customFormat="false" ht="15" hidden="false" customHeight="false" outlineLevel="0" collapsed="false">
      <c r="A19" s="34" t="s">
        <v>409</v>
      </c>
      <c r="B19" s="66" t="n">
        <f aca="false">pv_sum+pv_tv</f>
        <v>196157.579649582</v>
      </c>
      <c r="C19" s="52"/>
      <c r="D19" s="35"/>
      <c r="E19" s="35"/>
      <c r="F19" s="35"/>
      <c r="G19" s="35"/>
      <c r="H19" s="35"/>
      <c r="I19" s="35"/>
      <c r="J19" s="35"/>
      <c r="K19" s="35"/>
      <c r="L19" s="35"/>
      <c r="M19" s="35"/>
    </row>
    <row r="20" customFormat="false" ht="15" hidden="false" customHeight="false" outlineLevel="0" collapsed="false">
      <c r="A20" s="36" t="s">
        <v>410</v>
      </c>
      <c r="B20" s="53" t="n">
        <f aca="false">pv_tv/ev</f>
        <v>0.436429112956487</v>
      </c>
      <c r="C20" s="52"/>
      <c r="D20" s="35"/>
      <c r="E20" s="35"/>
      <c r="F20" s="35"/>
      <c r="G20" s="35"/>
      <c r="H20" s="35"/>
      <c r="I20" s="35"/>
      <c r="J20" s="35"/>
      <c r="K20" s="35"/>
      <c r="L20" s="35"/>
      <c r="M20" s="3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B4"/>
    <pageSetUpPr fitToPage="tru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48"/>
    <col collapsed="false" customWidth="true" hidden="false" outlineLevel="0" max="12" min="4" style="0" width="12"/>
  </cols>
  <sheetData>
    <row r="1" customFormat="false" ht="25.5" hidden="false" customHeight="true" outlineLevel="0" collapsed="false">
      <c r="A1" s="25" t="s">
        <v>411</v>
      </c>
      <c r="B1" s="26"/>
      <c r="C1" s="49" t="str">
        <f aca="false">"Scenario: "&amp;scen_name&amp;"  ·  switch on Dashboard"</f>
        <v>Scenario: Base  ·  switch on Dashboard</v>
      </c>
      <c r="D1" s="1"/>
      <c r="E1" s="1"/>
      <c r="F1" s="1"/>
      <c r="G1" s="1"/>
      <c r="H1" s="1"/>
      <c r="I1" s="1"/>
      <c r="J1" s="1"/>
      <c r="K1" s="1"/>
      <c r="L1" s="1"/>
    </row>
    <row r="2" customFormat="false" ht="15.75" hidden="false" customHeight="true" outlineLevel="0" collapsed="false">
      <c r="A2" s="27" t="s">
        <v>412</v>
      </c>
      <c r="B2" s="28"/>
      <c r="C2" s="28"/>
      <c r="D2" s="29"/>
      <c r="E2" s="29"/>
      <c r="F2" s="29"/>
      <c r="G2" s="29"/>
      <c r="H2" s="29"/>
      <c r="I2" s="29"/>
      <c r="J2" s="29"/>
      <c r="K2" s="29"/>
      <c r="L2" s="29"/>
    </row>
    <row r="3" customFormat="false" ht="15" hidden="false" customHeight="false" outlineLevel="0" collapsed="false">
      <c r="A3" s="30"/>
      <c r="B3" s="30"/>
      <c r="C3" s="30"/>
    </row>
    <row r="4" customFormat="false" ht="15" hidden="false" customHeight="false" outlineLevel="0" collapsed="false">
      <c r="A4" s="31" t="s">
        <v>355</v>
      </c>
      <c r="B4" s="32" t="s">
        <v>5</v>
      </c>
      <c r="C4" s="32" t="s">
        <v>299</v>
      </c>
      <c r="D4" s="33"/>
      <c r="E4" s="33"/>
      <c r="F4" s="33"/>
      <c r="G4" s="33"/>
      <c r="H4" s="33"/>
      <c r="I4" s="33"/>
      <c r="J4" s="33"/>
      <c r="K4" s="33"/>
      <c r="L4" s="33"/>
    </row>
    <row r="5" customFormat="false" ht="15" hidden="false" customHeight="false" outlineLevel="0" collapsed="false">
      <c r="A5" s="36" t="s">
        <v>413</v>
      </c>
      <c r="B5" s="42" t="n">
        <f aca="false">ev</f>
        <v>196157.579649582</v>
      </c>
      <c r="C5" s="52"/>
      <c r="D5" s="33"/>
      <c r="E5" s="33"/>
      <c r="F5" s="33"/>
      <c r="G5" s="33"/>
      <c r="H5" s="33"/>
      <c r="I5" s="33"/>
      <c r="J5" s="33"/>
      <c r="K5" s="33"/>
      <c r="L5" s="33"/>
    </row>
    <row r="6" customFormat="false" ht="15" hidden="false" customHeight="false" outlineLevel="0" collapsed="false">
      <c r="A6" s="36" t="s">
        <v>414</v>
      </c>
      <c r="B6" s="42" t="n">
        <f aca="false">-core_debt</f>
        <v>-24848</v>
      </c>
      <c r="C6" s="52" t="s">
        <v>44</v>
      </c>
      <c r="D6" s="33"/>
      <c r="E6" s="33"/>
      <c r="F6" s="33"/>
      <c r="G6" s="33"/>
      <c r="H6" s="33"/>
      <c r="I6" s="33"/>
      <c r="J6" s="33"/>
      <c r="K6" s="33"/>
      <c r="L6" s="33"/>
    </row>
    <row r="7" customFormat="false" ht="15" hidden="false" customHeight="false" outlineLevel="0" collapsed="false">
      <c r="A7" s="36" t="s">
        <v>415</v>
      </c>
      <c r="B7" s="42" t="n">
        <f aca="false">-leases</f>
        <v>-727</v>
      </c>
      <c r="C7" s="52" t="s">
        <v>44</v>
      </c>
      <c r="D7" s="33"/>
      <c r="E7" s="33"/>
      <c r="F7" s="33"/>
      <c r="G7" s="33"/>
      <c r="H7" s="33"/>
      <c r="I7" s="33"/>
      <c r="J7" s="33"/>
      <c r="K7" s="33"/>
      <c r="L7" s="33"/>
    </row>
    <row r="8" customFormat="false" ht="15" hidden="false" customHeight="false" outlineLevel="0" collapsed="false">
      <c r="A8" s="36" t="s">
        <v>416</v>
      </c>
      <c r="B8" s="42" t="n">
        <f aca="false">cash</f>
        <v>11569</v>
      </c>
      <c r="C8" s="52" t="s">
        <v>44</v>
      </c>
      <c r="D8" s="33"/>
      <c r="E8" s="33"/>
      <c r="F8" s="33"/>
      <c r="G8" s="33"/>
      <c r="H8" s="33"/>
      <c r="I8" s="33"/>
      <c r="J8" s="33"/>
      <c r="K8" s="33"/>
      <c r="L8" s="33"/>
    </row>
    <row r="9" customFormat="false" ht="15" hidden="false" customHeight="false" outlineLevel="0" collapsed="false">
      <c r="A9" s="36" t="s">
        <v>417</v>
      </c>
      <c r="B9" s="42" t="n">
        <f aca="false">dfs_rec+dfs_le-dfs_debt</f>
        <v>0</v>
      </c>
      <c r="C9" s="52" t="s">
        <v>418</v>
      </c>
      <c r="D9" s="33"/>
      <c r="E9" s="33"/>
      <c r="F9" s="33"/>
      <c r="G9" s="33"/>
      <c r="H9" s="33"/>
      <c r="I9" s="33"/>
      <c r="J9" s="33"/>
      <c r="K9" s="33"/>
      <c r="L9" s="33"/>
    </row>
    <row r="10" customFormat="false" ht="15" hidden="false" customHeight="false" outlineLevel="0" collapsed="false">
      <c r="A10" s="36" t="s">
        <v>419</v>
      </c>
      <c r="B10" s="42" t="n">
        <f aca="false">investments</f>
        <v>1730</v>
      </c>
      <c r="C10" s="52" t="s">
        <v>44</v>
      </c>
      <c r="D10" s="33"/>
      <c r="E10" s="33"/>
      <c r="F10" s="33"/>
      <c r="G10" s="33"/>
      <c r="H10" s="33"/>
      <c r="I10" s="33"/>
      <c r="J10" s="33"/>
      <c r="K10" s="33"/>
      <c r="L10" s="33"/>
    </row>
    <row r="11" customFormat="false" ht="15" hidden="false" customHeight="false" outlineLevel="0" collapsed="false">
      <c r="A11" s="36" t="s">
        <v>420</v>
      </c>
      <c r="B11" s="42" t="n">
        <f aca="false">-nci</f>
        <v>-0</v>
      </c>
      <c r="C11" s="52" t="s">
        <v>44</v>
      </c>
      <c r="D11" s="33"/>
      <c r="E11" s="33"/>
      <c r="F11" s="33"/>
      <c r="G11" s="33"/>
      <c r="H11" s="33"/>
      <c r="I11" s="33"/>
      <c r="J11" s="33"/>
      <c r="K11" s="33"/>
      <c r="L11" s="33"/>
    </row>
    <row r="12" customFormat="false" ht="15" hidden="false" customHeight="false" outlineLevel="0" collapsed="false">
      <c r="A12" s="34" t="s">
        <v>421</v>
      </c>
      <c r="B12" s="66" t="n">
        <f aca="false">ev_x+x_debt+x_leases+x_cash+dfs_net+x_inv+x_nci</f>
        <v>183881.579649582</v>
      </c>
      <c r="C12" s="52"/>
      <c r="D12" s="33"/>
      <c r="E12" s="33"/>
      <c r="F12" s="33"/>
      <c r="G12" s="33"/>
      <c r="H12" s="33"/>
      <c r="I12" s="33"/>
      <c r="J12" s="33"/>
      <c r="K12" s="33"/>
      <c r="L12" s="33"/>
    </row>
    <row r="13" customFormat="false" ht="15" hidden="false" customHeight="false" outlineLevel="0" collapsed="false">
      <c r="A13" s="36" t="s">
        <v>422</v>
      </c>
      <c r="B13" s="39" t="n">
        <f aca="false">shares_basic+dilution</f>
        <v>645.81</v>
      </c>
      <c r="C13" s="52" t="s">
        <v>44</v>
      </c>
      <c r="D13" s="33"/>
      <c r="E13" s="33"/>
      <c r="F13" s="33"/>
      <c r="G13" s="33"/>
      <c r="H13" s="33"/>
      <c r="I13" s="33"/>
      <c r="J13" s="33"/>
      <c r="K13" s="33"/>
      <c r="L13" s="33"/>
    </row>
    <row r="14" customFormat="false" ht="15" hidden="false" customHeight="false" outlineLevel="0" collapsed="false">
      <c r="A14" s="34" t="s">
        <v>423</v>
      </c>
      <c r="B14" s="67" t="n">
        <f aca="false">equity/dil_sh</f>
        <v>284.730152288726</v>
      </c>
      <c r="C14" s="52" t="s">
        <v>424</v>
      </c>
      <c r="D14" s="33"/>
      <c r="E14" s="33"/>
      <c r="F14" s="33"/>
      <c r="G14" s="33"/>
      <c r="H14" s="33"/>
      <c r="I14" s="33"/>
      <c r="J14" s="33"/>
      <c r="K14" s="33"/>
      <c r="L14" s="33"/>
    </row>
    <row r="15" customFormat="false" ht="15" hidden="false" customHeight="false" outlineLevel="0" collapsed="false">
      <c r="A15" s="36" t="s">
        <v>425</v>
      </c>
      <c r="B15" s="68" t="n">
        <f aca="false">px_now</f>
        <v>473.39</v>
      </c>
      <c r="C15" s="52"/>
      <c r="D15" s="33"/>
      <c r="E15" s="33"/>
      <c r="F15" s="33"/>
      <c r="G15" s="33"/>
      <c r="H15" s="33"/>
      <c r="I15" s="33"/>
      <c r="J15" s="33"/>
      <c r="K15" s="33"/>
      <c r="L15" s="33"/>
    </row>
    <row r="16" customFormat="false" ht="15" hidden="false" customHeight="false" outlineLevel="0" collapsed="false">
      <c r="A16" s="36" t="s">
        <v>426</v>
      </c>
      <c r="B16" s="53" t="n">
        <f aca="false">model_ps/x_price-1</f>
        <v>-0.398529431781985</v>
      </c>
      <c r="C16" s="52"/>
      <c r="D16" s="33"/>
      <c r="E16" s="33"/>
      <c r="F16" s="33"/>
      <c r="G16" s="33"/>
      <c r="H16" s="33"/>
      <c r="I16" s="33"/>
      <c r="J16" s="33"/>
      <c r="K16" s="33"/>
      <c r="L16" s="33"/>
    </row>
    <row r="17" customFormat="false" ht="15" hidden="false" customHeight="false" outlineLevel="0" collapsed="false">
      <c r="A17" s="36" t="s">
        <v>427</v>
      </c>
      <c r="B17" s="42" t="n">
        <f aca="false">px_now*dil_sh</f>
        <v>305719.9959</v>
      </c>
      <c r="C17" s="52"/>
      <c r="D17" s="33"/>
      <c r="E17" s="33"/>
      <c r="F17" s="33"/>
      <c r="G17" s="33"/>
      <c r="H17" s="33"/>
      <c r="I17" s="33"/>
      <c r="J17" s="33"/>
      <c r="K17" s="33"/>
      <c r="L17" s="33"/>
    </row>
    <row r="18" customFormat="false" ht="15" hidden="false" customHeight="false" outlineLevel="0" collapsed="false">
      <c r="A18" s="36" t="s">
        <v>428</v>
      </c>
      <c r="B18" s="53" t="n">
        <f aca="false">equity/mcap_now-1</f>
        <v>-0.398529431781985</v>
      </c>
      <c r="C18" s="52"/>
      <c r="D18" s="33"/>
      <c r="E18" s="33"/>
      <c r="F18" s="33"/>
      <c r="G18" s="33"/>
      <c r="H18" s="33"/>
      <c r="I18" s="33"/>
      <c r="J18" s="33"/>
      <c r="K18" s="33"/>
      <c r="L18"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7B4A"/>
    <pageSetUpPr fitToPage="tru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2" min="2" style="0" width="16"/>
    <col collapsed="false" customWidth="true" hidden="false" outlineLevel="0" max="3" min="3" style="0" width="13"/>
    <col collapsed="false" customWidth="true" hidden="false" outlineLevel="0" max="6" min="4" style="0" width="12"/>
    <col collapsed="false" customWidth="true" hidden="false" outlineLevel="0" max="7" min="7" style="0" width="80"/>
    <col collapsed="false" customWidth="true" hidden="false" outlineLevel="0" max="12" min="8" style="0" width="12"/>
  </cols>
  <sheetData>
    <row r="1" customFormat="false" ht="25.5" hidden="false" customHeight="true" outlineLevel="0" collapsed="false">
      <c r="A1" s="25" t="s">
        <v>429</v>
      </c>
      <c r="B1" s="26"/>
      <c r="C1" s="49" t="str">
        <f aca="false">"Scenario: "&amp;scen_name&amp;"  ·  switch on Dashboard"</f>
        <v>Scenario: Base  ·  switch on Dashboard</v>
      </c>
      <c r="D1" s="26"/>
      <c r="E1" s="26"/>
      <c r="F1" s="26"/>
      <c r="G1" s="26"/>
      <c r="H1" s="1"/>
      <c r="I1" s="1"/>
      <c r="J1" s="1"/>
      <c r="K1" s="1"/>
      <c r="L1" s="1"/>
    </row>
    <row r="2" customFormat="false" ht="15.75" hidden="false" customHeight="true" outlineLevel="0" collapsed="false">
      <c r="A2" s="27" t="s">
        <v>430</v>
      </c>
      <c r="B2" s="28"/>
      <c r="C2" s="28"/>
      <c r="D2" s="28"/>
      <c r="E2" s="28"/>
      <c r="F2" s="28"/>
      <c r="G2" s="28"/>
      <c r="H2" s="29"/>
      <c r="I2" s="29"/>
      <c r="J2" s="29"/>
      <c r="K2" s="29"/>
      <c r="L2" s="29"/>
    </row>
    <row r="3" customFormat="false" ht="15" hidden="false" customHeight="false" outlineLevel="0" collapsed="false">
      <c r="A3" s="30"/>
      <c r="B3" s="30"/>
      <c r="C3" s="30"/>
      <c r="D3" s="30"/>
      <c r="E3" s="30"/>
      <c r="F3" s="30"/>
      <c r="G3" s="30"/>
    </row>
    <row r="4" customFormat="false" ht="22.35" hidden="false" customHeight="false" outlineLevel="0" collapsed="false">
      <c r="A4" s="31" t="s">
        <v>4</v>
      </c>
      <c r="B4" s="32" t="s">
        <v>431</v>
      </c>
      <c r="C4" s="32" t="s">
        <v>432</v>
      </c>
      <c r="D4" s="32" t="s">
        <v>433</v>
      </c>
      <c r="E4" s="32" t="s">
        <v>434</v>
      </c>
      <c r="F4" s="32" t="s">
        <v>435</v>
      </c>
      <c r="G4" s="32" t="s">
        <v>436</v>
      </c>
      <c r="H4" s="33"/>
      <c r="I4" s="33"/>
      <c r="J4" s="33"/>
      <c r="K4" s="33"/>
      <c r="L4" s="33"/>
    </row>
    <row r="5" customFormat="false" ht="15" hidden="false" customHeight="false" outlineLevel="0" collapsed="false">
      <c r="A5" s="36" t="s">
        <v>437</v>
      </c>
      <c r="B5" s="69" t="n">
        <f aca="false">model_ps</f>
        <v>284.730152288726</v>
      </c>
      <c r="C5" s="70" t="n">
        <v>0.4</v>
      </c>
      <c r="D5" s="53" t="n">
        <f aca="false">IF(ISNUMBER(B5),B5/px_now-1,"")</f>
        <v>-0.398529431781985</v>
      </c>
      <c r="E5" s="68" t="n">
        <f aca="false">IF(ISNUMBER(B5),B5*C5,0)</f>
        <v>113.892060915491</v>
      </c>
      <c r="F5" s="57" t="n">
        <f aca="false">IF(ISNUMBER(B5),C5,0)</f>
        <v>0.4</v>
      </c>
      <c r="G5" s="52" t="s">
        <v>438</v>
      </c>
      <c r="H5" s="33"/>
      <c r="I5" s="33"/>
      <c r="J5" s="33"/>
      <c r="K5" s="33"/>
      <c r="L5" s="33"/>
    </row>
    <row r="6" customFormat="false" ht="15" hidden="false" customHeight="false" outlineLevel="0" collapsed="false">
      <c r="A6" s="36" t="s">
        <v>439</v>
      </c>
      <c r="B6" s="71" t="n">
        <v>276.394447319484</v>
      </c>
      <c r="C6" s="70" t="n">
        <v>0.2</v>
      </c>
      <c r="D6" s="53" t="n">
        <f aca="false">IF(ISNUMBER(B6),B6/px_now-1,"")</f>
        <v>-0.416137968019004</v>
      </c>
      <c r="E6" s="68" t="n">
        <f aca="false">IF(ISNUMBER(B6),B6*C6,0)</f>
        <v>55.2788894638967</v>
      </c>
      <c r="F6" s="57" t="n">
        <f aca="false">IF(ISNUMBER(B6),C6,0)</f>
        <v>0.2</v>
      </c>
      <c r="G6" s="52" t="s">
        <v>440</v>
      </c>
      <c r="H6" s="33"/>
      <c r="I6" s="33"/>
      <c r="J6" s="33"/>
      <c r="K6" s="33"/>
      <c r="L6" s="33"/>
    </row>
    <row r="7" customFormat="false" ht="15" hidden="false" customHeight="false" outlineLevel="0" collapsed="false">
      <c r="A7" s="36" t="s">
        <v>441</v>
      </c>
      <c r="B7" s="69" t="n">
        <f aca="false">comps_ps</f>
        <v>369.4063118651</v>
      </c>
      <c r="C7" s="70" t="n">
        <v>0.3</v>
      </c>
      <c r="D7" s="53" t="n">
        <f aca="false">IF(ISNUMBER(B7),B7/px_now-1,"")</f>
        <v>-0.219657551141554</v>
      </c>
      <c r="E7" s="68" t="n">
        <f aca="false">IF(ISNUMBER(B7),B7*C7,0)</f>
        <v>110.82189355953</v>
      </c>
      <c r="F7" s="57" t="n">
        <f aca="false">IF(ISNUMBER(B7),C7,0)</f>
        <v>0.3</v>
      </c>
      <c r="G7" s="52" t="s">
        <v>442</v>
      </c>
      <c r="H7" s="33"/>
      <c r="I7" s="33"/>
      <c r="J7" s="33"/>
      <c r="K7" s="33"/>
      <c r="L7" s="33"/>
    </row>
    <row r="8" customFormat="false" ht="15" hidden="false" customHeight="false" outlineLevel="0" collapsed="false">
      <c r="A8" s="36" t="s">
        <v>443</v>
      </c>
      <c r="B8" s="69" t="str">
        <f aca="false">reg_ps</f>
        <v/>
      </c>
      <c r="C8" s="70" t="n">
        <v>0.1</v>
      </c>
      <c r="D8" s="53" t="str">
        <f aca="false">IF(ISNUMBER(B8),B8/px_now-1,"")</f>
        <v/>
      </c>
      <c r="E8" s="68" t="n">
        <f aca="false">IF(ISNUMBER(B8),B8*C8,0)</f>
        <v>0</v>
      </c>
      <c r="F8" s="57" t="n">
        <f aca="false">IF(ISNUMBER(B8),C8,0)</f>
        <v>0</v>
      </c>
      <c r="G8" s="52" t="s">
        <v>442</v>
      </c>
      <c r="H8" s="33"/>
      <c r="I8" s="33"/>
      <c r="J8" s="33"/>
      <c r="K8" s="33"/>
      <c r="L8" s="33"/>
    </row>
    <row r="9" customFormat="false" ht="15" hidden="false" customHeight="false" outlineLevel="0" collapsed="false">
      <c r="A9" s="30"/>
      <c r="B9" s="30"/>
      <c r="C9" s="30"/>
      <c r="D9" s="30"/>
      <c r="E9" s="30"/>
      <c r="F9" s="30"/>
      <c r="G9" s="30"/>
    </row>
    <row r="10" customFormat="false" ht="15" hidden="false" customHeight="false" outlineLevel="0" collapsed="false">
      <c r="A10" s="34" t="s">
        <v>444</v>
      </c>
      <c r="B10" s="67" t="n">
        <f aca="false">SUM(E5:E8)/SUM(F5:F8)</f>
        <v>311.10315993213</v>
      </c>
      <c r="C10" s="35"/>
      <c r="D10" s="35"/>
      <c r="E10" s="35"/>
      <c r="F10" s="35"/>
      <c r="G10" s="35"/>
      <c r="H10" s="33"/>
      <c r="I10" s="33"/>
      <c r="J10" s="33"/>
      <c r="K10" s="33"/>
      <c r="L10" s="33"/>
    </row>
    <row r="11" customFormat="false" ht="15" hidden="false" customHeight="false" outlineLevel="0" collapsed="false">
      <c r="A11" s="36" t="s">
        <v>445</v>
      </c>
      <c r="B11" s="53" t="n">
        <f aca="false">fair/px_now-1</f>
        <v>-0.342818479621179</v>
      </c>
      <c r="C11" s="35"/>
      <c r="D11" s="35"/>
      <c r="E11" s="35"/>
      <c r="F11" s="35"/>
      <c r="G11" s="35"/>
      <c r="H11" s="33"/>
      <c r="I11" s="33"/>
      <c r="J11" s="33"/>
      <c r="K11" s="33"/>
      <c r="L11" s="33"/>
    </row>
    <row r="12" customFormat="false" ht="15" hidden="false" customHeight="false" outlineLevel="0" collapsed="false">
      <c r="A12" s="36" t="s">
        <v>446</v>
      </c>
      <c r="B12" s="36" t="str">
        <f aca="false">eq_grade</f>
        <v>B</v>
      </c>
      <c r="C12" s="35"/>
      <c r="D12" s="35"/>
      <c r="E12" s="35"/>
      <c r="F12" s="35"/>
      <c r="G12" s="35"/>
      <c r="H12" s="33"/>
      <c r="I12" s="33"/>
      <c r="J12" s="33"/>
      <c r="K12" s="33"/>
      <c r="L12" s="33"/>
    </row>
    <row r="13" customFormat="false" ht="15" hidden="false" customHeight="false" outlineLevel="0" collapsed="false">
      <c r="A13" s="36" t="s">
        <v>447</v>
      </c>
      <c r="B13" s="36" t="str">
        <f aca="false">IF(upside&gt;band,"UNDERVALUED",IF(upside&lt;-band,"OVERVALUED","FAIRLY VALUED"))</f>
        <v>OVERVALUED</v>
      </c>
      <c r="C13" s="35"/>
      <c r="D13" s="35"/>
      <c r="E13" s="35"/>
      <c r="F13" s="35"/>
      <c r="G13" s="35"/>
      <c r="H13" s="33"/>
      <c r="I13" s="33"/>
      <c r="J13" s="33"/>
      <c r="K13" s="33"/>
      <c r="L13" s="33"/>
    </row>
    <row r="14" customFormat="false" ht="15" hidden="false" customHeight="false" outlineLevel="0" collapsed="false">
      <c r="A14" s="34" t="s">
        <v>448</v>
      </c>
      <c r="B14" s="59" t="str">
        <f aca="false">IF(AND(eq_gate=1,eq_grade_x="D"),"NO CALL",raw_call)</f>
        <v>OVERVALUED</v>
      </c>
      <c r="C14" s="35"/>
      <c r="D14" s="35"/>
      <c r="E14" s="35"/>
      <c r="F14" s="35"/>
      <c r="G14" s="35"/>
      <c r="H14" s="33"/>
      <c r="I14" s="33"/>
      <c r="J14" s="33"/>
      <c r="K14" s="33"/>
      <c r="L14" s="33"/>
    </row>
    <row r="15" customFormat="false" ht="15" hidden="false" customHeight="false" outlineLevel="0" collapsed="false">
      <c r="A15" s="36" t="s">
        <v>449</v>
      </c>
      <c r="B15" s="36" t="str">
        <f aca="false">IF(AND(eq_gate=1,eq_grade_x="C"),"low","normal")</f>
        <v>normal</v>
      </c>
      <c r="C15" s="35"/>
      <c r="D15" s="35"/>
      <c r="E15" s="35"/>
      <c r="F15" s="35"/>
      <c r="G15" s="35"/>
      <c r="H15" s="33"/>
      <c r="I15" s="33"/>
      <c r="J15" s="33"/>
      <c r="K15" s="33"/>
      <c r="L15" s="33"/>
    </row>
    <row r="16" customFormat="false" ht="15" hidden="false" customHeight="false" outlineLevel="0" collapsed="false">
      <c r="A16" s="36" t="s">
        <v>450</v>
      </c>
      <c r="B16" s="53" t="n">
        <f aca="false">(fair/px_now)^(1/horizon)-1+dps/px_now</f>
        <v>-0.337495173256448</v>
      </c>
      <c r="C16" s="35"/>
      <c r="D16" s="35"/>
      <c r="E16" s="35"/>
      <c r="F16" s="35"/>
      <c r="G16" s="35"/>
      <c r="H16" s="33"/>
      <c r="I16" s="33"/>
      <c r="J16" s="33"/>
      <c r="K16" s="33"/>
      <c r="L16" s="33"/>
    </row>
    <row r="17" customFormat="false" ht="15" hidden="false" customHeight="false" outlineLevel="0" collapsed="false">
      <c r="A17" s="36" t="s">
        <v>451</v>
      </c>
      <c r="B17" s="53" t="n">
        <f aca="false">ke</f>
        <v>0.12144704517052</v>
      </c>
      <c r="C17" s="35"/>
      <c r="D17" s="35"/>
      <c r="E17" s="35"/>
      <c r="F17" s="35"/>
      <c r="G17" s="35"/>
      <c r="H17" s="33"/>
      <c r="I17" s="33"/>
      <c r="J17" s="33"/>
      <c r="K17" s="33"/>
      <c r="L17" s="33"/>
    </row>
    <row r="18" customFormat="false" ht="15" hidden="false" customHeight="false" outlineLevel="0" collapsed="false">
      <c r="A18" s="34" t="s">
        <v>452</v>
      </c>
      <c r="B18" s="51" t="n">
        <f aca="false">exp_ret-req_ret</f>
        <v>-0.458942218426968</v>
      </c>
      <c r="C18" s="35"/>
      <c r="D18" s="35"/>
      <c r="E18" s="35"/>
      <c r="F18" s="35"/>
      <c r="G18" s="35"/>
      <c r="H18" s="33"/>
      <c r="I18" s="33"/>
      <c r="J18" s="33"/>
      <c r="K18" s="33"/>
      <c r="L18" s="33"/>
    </row>
    <row r="19" customFormat="false" ht="15" hidden="false" customHeight="false" outlineLevel="0" collapsed="false">
      <c r="A19" s="30"/>
      <c r="B19" s="30"/>
      <c r="C19" s="30"/>
      <c r="D19" s="30"/>
      <c r="E19" s="30"/>
      <c r="F19" s="30"/>
      <c r="G19" s="30"/>
    </row>
    <row r="20" customFormat="false" ht="15" hidden="false" customHeight="false" outlineLevel="0" collapsed="false">
      <c r="A20" s="52" t="s">
        <v>453</v>
      </c>
      <c r="B20" s="35"/>
      <c r="C20" s="35"/>
      <c r="D20" s="35"/>
      <c r="E20" s="35"/>
      <c r="F20" s="35"/>
      <c r="G20" s="35"/>
      <c r="H20" s="33"/>
      <c r="I20" s="33"/>
      <c r="J20" s="33"/>
      <c r="K20" s="33"/>
      <c r="L20"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0"/>
    <col collapsed="false" customWidth="true" hidden="false" outlineLevel="0" max="7" min="3" style="0" width="15"/>
    <col collapsed="false" customWidth="true" hidden="false" outlineLevel="0" max="12" min="8" style="0" width="12"/>
  </cols>
  <sheetData>
    <row r="1" customFormat="false" ht="25.5" hidden="false" customHeight="true" outlineLevel="0" collapsed="false">
      <c r="A1" s="25" t="s">
        <v>18</v>
      </c>
      <c r="B1" s="26"/>
      <c r="C1" s="49" t="str">
        <f aca="false">"Scenario: "&amp;scen_name&amp;"  ·  switch on Dashboard"</f>
        <v>Scenario: Base  ·  switch on Dashboard</v>
      </c>
      <c r="D1" s="26"/>
      <c r="E1" s="26"/>
      <c r="F1" s="26"/>
      <c r="G1" s="26"/>
      <c r="H1" s="1"/>
      <c r="I1" s="1"/>
      <c r="J1" s="1"/>
      <c r="K1" s="1"/>
      <c r="L1" s="1"/>
    </row>
    <row r="2" customFormat="false" ht="15.75" hidden="false" customHeight="true" outlineLevel="0" collapsed="false">
      <c r="A2" s="27" t="s">
        <v>454</v>
      </c>
      <c r="B2" s="28"/>
      <c r="C2" s="28"/>
      <c r="D2" s="28"/>
      <c r="E2" s="28"/>
      <c r="F2" s="28"/>
      <c r="G2" s="28"/>
      <c r="H2" s="29"/>
      <c r="I2" s="29"/>
      <c r="J2" s="29"/>
      <c r="K2" s="29"/>
      <c r="L2" s="29"/>
    </row>
    <row r="3" customFormat="false" ht="15" hidden="false" customHeight="false" outlineLevel="0" collapsed="false">
      <c r="A3" s="30"/>
      <c r="B3" s="30"/>
      <c r="C3" s="30"/>
      <c r="D3" s="30"/>
      <c r="E3" s="30"/>
      <c r="F3" s="30"/>
      <c r="G3" s="30"/>
    </row>
    <row r="4" customFormat="false" ht="15" hidden="false" customHeight="false" outlineLevel="0" collapsed="false">
      <c r="A4" s="31" t="s">
        <v>455</v>
      </c>
      <c r="B4" s="32" t="s">
        <v>456</v>
      </c>
      <c r="C4" s="32" t="s">
        <v>457</v>
      </c>
      <c r="D4" s="32" t="s">
        <v>458</v>
      </c>
      <c r="E4" s="32" t="s">
        <v>459</v>
      </c>
      <c r="F4" s="35"/>
      <c r="G4" s="35"/>
      <c r="H4" s="33"/>
      <c r="I4" s="33"/>
      <c r="J4" s="33"/>
      <c r="K4" s="33"/>
      <c r="L4" s="33"/>
    </row>
    <row r="5" customFormat="false" ht="15" hidden="false" customHeight="false" outlineLevel="0" collapsed="false">
      <c r="A5" s="36" t="s">
        <v>460</v>
      </c>
      <c r="B5" s="36" t="s">
        <v>461</v>
      </c>
      <c r="C5" s="72" t="n">
        <v>12.6</v>
      </c>
      <c r="D5" s="72" t="n">
        <v>13.34</v>
      </c>
      <c r="E5" s="72" t="n">
        <v>2.2</v>
      </c>
      <c r="F5" s="35"/>
      <c r="G5" s="35"/>
      <c r="H5" s="33"/>
      <c r="I5" s="33"/>
      <c r="J5" s="33"/>
      <c r="K5" s="33"/>
      <c r="L5" s="33"/>
    </row>
    <row r="6" customFormat="false" ht="15" hidden="false" customHeight="false" outlineLevel="0" collapsed="false">
      <c r="A6" s="36" t="s">
        <v>462</v>
      </c>
      <c r="B6" s="36" t="s">
        <v>463</v>
      </c>
      <c r="C6" s="72" t="n">
        <v>10.19</v>
      </c>
      <c r="D6" s="72" t="n">
        <v>7.32</v>
      </c>
      <c r="E6" s="72" t="n">
        <v>0.57</v>
      </c>
      <c r="F6" s="35"/>
      <c r="G6" s="35"/>
      <c r="H6" s="33"/>
      <c r="I6" s="33"/>
      <c r="J6" s="33"/>
      <c r="K6" s="33"/>
      <c r="L6" s="33"/>
    </row>
    <row r="7" customFormat="false" ht="15" hidden="false" customHeight="false" outlineLevel="0" collapsed="false">
      <c r="A7" s="36" t="s">
        <v>464</v>
      </c>
      <c r="B7" s="36" t="s">
        <v>465</v>
      </c>
      <c r="C7" s="72" t="n">
        <v>8.09</v>
      </c>
      <c r="D7" s="72" t="n">
        <v>8.77</v>
      </c>
      <c r="E7" s="72" t="n">
        <v>0.63</v>
      </c>
      <c r="F7" s="35"/>
      <c r="G7" s="35"/>
      <c r="H7" s="33"/>
      <c r="I7" s="33"/>
      <c r="J7" s="33"/>
      <c r="K7" s="33"/>
      <c r="L7" s="33"/>
    </row>
    <row r="8" customFormat="false" ht="15" hidden="false" customHeight="false" outlineLevel="0" collapsed="false">
      <c r="A8" s="36" t="s">
        <v>466</v>
      </c>
      <c r="B8" s="36" t="s">
        <v>467</v>
      </c>
      <c r="C8" s="72" t="n">
        <v>22.36</v>
      </c>
      <c r="D8" s="72" t="n">
        <v>19.53</v>
      </c>
      <c r="E8" s="72" t="n">
        <v>5.54</v>
      </c>
      <c r="F8" s="35"/>
      <c r="G8" s="35"/>
      <c r="H8" s="33"/>
      <c r="I8" s="33"/>
      <c r="J8" s="33"/>
      <c r="K8" s="33"/>
      <c r="L8" s="33"/>
    </row>
    <row r="9" customFormat="false" ht="15" hidden="false" customHeight="false" outlineLevel="0" collapsed="false">
      <c r="A9" s="36" t="s">
        <v>468</v>
      </c>
      <c r="B9" s="36" t="s">
        <v>469</v>
      </c>
      <c r="C9" s="72" t="n">
        <v>41.01</v>
      </c>
      <c r="D9" s="72" t="n">
        <v>113.69</v>
      </c>
      <c r="E9" s="72" t="n">
        <v>10.25</v>
      </c>
      <c r="F9" s="35"/>
      <c r="G9" s="35"/>
      <c r="H9" s="33"/>
      <c r="I9" s="33"/>
      <c r="J9" s="33"/>
      <c r="K9" s="33"/>
      <c r="L9" s="33"/>
    </row>
    <row r="10" customFormat="false" ht="15" hidden="false" customHeight="false" outlineLevel="0" collapsed="false">
      <c r="A10" s="36" t="s">
        <v>470</v>
      </c>
      <c r="B10" s="36" t="s">
        <v>471</v>
      </c>
      <c r="C10" s="72" t="n">
        <v>21.15</v>
      </c>
      <c r="D10" s="72" t="n">
        <v>23.45</v>
      </c>
      <c r="E10" s="72" t="n">
        <v>2.35</v>
      </c>
      <c r="F10" s="35"/>
      <c r="G10" s="35"/>
      <c r="H10" s="33"/>
      <c r="I10" s="33"/>
      <c r="J10" s="33"/>
      <c r="K10" s="33"/>
      <c r="L10" s="33"/>
    </row>
    <row r="11" customFormat="false" ht="15" hidden="false" customHeight="false" outlineLevel="0" collapsed="false">
      <c r="A11" s="36" t="s">
        <v>472</v>
      </c>
      <c r="B11" s="36" t="s">
        <v>473</v>
      </c>
      <c r="C11" s="72" t="n">
        <v>10.5</v>
      </c>
      <c r="D11" s="72" t="n">
        <v>5.23</v>
      </c>
      <c r="E11" s="72" t="n">
        <v>0.29</v>
      </c>
      <c r="F11" s="35"/>
      <c r="G11" s="35"/>
      <c r="H11" s="33"/>
      <c r="I11" s="33"/>
      <c r="J11" s="33"/>
      <c r="K11" s="33"/>
      <c r="L11" s="33"/>
    </row>
    <row r="12" customFormat="false" ht="15" hidden="false" customHeight="false" outlineLevel="0" collapsed="false">
      <c r="A12" s="30"/>
      <c r="B12" s="30"/>
      <c r="C12" s="30"/>
      <c r="D12" s="30"/>
      <c r="E12" s="30"/>
      <c r="F12" s="30"/>
      <c r="G12" s="30"/>
    </row>
    <row r="13" customFormat="false" ht="15" hidden="false" customHeight="false" outlineLevel="0" collapsed="false">
      <c r="A13" s="34" t="s">
        <v>474</v>
      </c>
      <c r="B13" s="35"/>
      <c r="C13" s="35"/>
      <c r="D13" s="35"/>
      <c r="E13" s="35"/>
      <c r="F13" s="35"/>
      <c r="G13" s="35"/>
      <c r="H13" s="33"/>
      <c r="I13" s="33"/>
      <c r="J13" s="33"/>
      <c r="K13" s="33"/>
      <c r="L13" s="33"/>
    </row>
    <row r="14" customFormat="false" ht="15" hidden="false" customHeight="false" outlineLevel="0" collapsed="false">
      <c r="A14" s="36" t="s">
        <v>475</v>
      </c>
      <c r="B14" s="35"/>
      <c r="C14" s="71" t="n">
        <v>28.144</v>
      </c>
      <c r="D14" s="35"/>
      <c r="E14" s="35"/>
      <c r="F14" s="35"/>
      <c r="G14" s="35"/>
      <c r="H14" s="33"/>
      <c r="I14" s="33"/>
      <c r="J14" s="33"/>
      <c r="K14" s="33"/>
      <c r="L14" s="33"/>
    </row>
    <row r="15" customFormat="false" ht="15" hidden="false" customHeight="false" outlineLevel="0" collapsed="false">
      <c r="A15" s="36" t="s">
        <v>476</v>
      </c>
      <c r="B15" s="35"/>
      <c r="C15" s="40" t="n">
        <v>17730</v>
      </c>
      <c r="D15" s="35"/>
      <c r="E15" s="35"/>
      <c r="F15" s="35"/>
      <c r="G15" s="35"/>
      <c r="H15" s="33"/>
      <c r="I15" s="33"/>
      <c r="J15" s="33"/>
      <c r="K15" s="33"/>
      <c r="L15" s="33"/>
    </row>
    <row r="16" customFormat="false" ht="15" hidden="false" customHeight="false" outlineLevel="0" collapsed="false">
      <c r="A16" s="36" t="s">
        <v>477</v>
      </c>
      <c r="B16" s="35"/>
      <c r="C16" s="40" t="n">
        <v>151200</v>
      </c>
      <c r="D16" s="35"/>
      <c r="E16" s="35"/>
      <c r="F16" s="35"/>
      <c r="G16" s="35"/>
      <c r="H16" s="33"/>
      <c r="I16" s="33"/>
      <c r="J16" s="33"/>
      <c r="K16" s="33"/>
      <c r="L16" s="33"/>
    </row>
    <row r="17" customFormat="false" ht="15" hidden="false" customHeight="false" outlineLevel="0" collapsed="false">
      <c r="A17" s="36" t="s">
        <v>478</v>
      </c>
      <c r="B17" s="35"/>
      <c r="C17" s="40" t="n">
        <v>23624</v>
      </c>
      <c r="D17" s="35"/>
      <c r="E17" s="35"/>
      <c r="F17" s="35"/>
      <c r="G17" s="35"/>
      <c r="H17" s="33"/>
      <c r="I17" s="33"/>
      <c r="J17" s="33"/>
      <c r="K17" s="33"/>
      <c r="L17" s="33"/>
    </row>
    <row r="18" customFormat="false" ht="15" hidden="false" customHeight="false" outlineLevel="0" collapsed="false">
      <c r="A18" s="36"/>
      <c r="B18" s="35"/>
      <c r="C18" s="35"/>
      <c r="D18" s="35"/>
      <c r="E18" s="35"/>
      <c r="F18" s="35"/>
      <c r="G18" s="35"/>
      <c r="H18" s="33"/>
      <c r="I18" s="33"/>
      <c r="J18" s="33"/>
      <c r="K18" s="33"/>
      <c r="L18" s="33"/>
    </row>
    <row r="19" customFormat="false" ht="15" hidden="false" customHeight="false" outlineLevel="0" collapsed="false">
      <c r="A19" s="30"/>
      <c r="B19" s="30"/>
      <c r="C19" s="30"/>
      <c r="D19" s="30"/>
      <c r="E19" s="30"/>
      <c r="F19" s="30"/>
      <c r="G19" s="30"/>
    </row>
    <row r="20" customFormat="false" ht="15" hidden="false" customHeight="false" outlineLevel="0" collapsed="false">
      <c r="A20" s="31" t="s">
        <v>479</v>
      </c>
      <c r="B20" s="32"/>
      <c r="C20" s="32" t="s">
        <v>480</v>
      </c>
      <c r="D20" s="32" t="s">
        <v>481</v>
      </c>
      <c r="E20" s="32" t="s">
        <v>482</v>
      </c>
      <c r="F20" s="32" t="s">
        <v>432</v>
      </c>
      <c r="G20" s="32" t="s">
        <v>483</v>
      </c>
      <c r="H20" s="33"/>
      <c r="I20" s="33"/>
      <c r="J20" s="33"/>
      <c r="K20" s="33"/>
      <c r="L20" s="33"/>
    </row>
    <row r="21" customFormat="false" ht="15" hidden="false" customHeight="false" outlineLevel="0" collapsed="false">
      <c r="A21" s="36" t="s">
        <v>457</v>
      </c>
      <c r="B21" s="35"/>
      <c r="C21" s="73" t="n">
        <f aca="false">IFERROR(MEDIAN(C5:C11),NA())</f>
        <v>12.6</v>
      </c>
      <c r="D21" s="73" t="n">
        <f aca="false">IFERROR(px_now/c_eps,NA())</f>
        <v>16.820281409892</v>
      </c>
      <c r="E21" s="68" t="n">
        <f aca="false">IFERROR(C21*c_eps,NA())</f>
        <v>354.6144</v>
      </c>
      <c r="F21" s="70" t="n">
        <v>0.4</v>
      </c>
      <c r="G21" s="68" t="n">
        <f aca="false">IF(ISNUMBER(E21),E21*F21,0)</f>
        <v>141.84576</v>
      </c>
      <c r="H21" s="33"/>
      <c r="I21" s="33"/>
      <c r="J21" s="33"/>
      <c r="K21" s="33"/>
      <c r="L21" s="33"/>
    </row>
    <row r="22" customFormat="false" ht="15" hidden="false" customHeight="false" outlineLevel="0" collapsed="false">
      <c r="A22" s="36" t="s">
        <v>458</v>
      </c>
      <c r="B22" s="35"/>
      <c r="C22" s="73" t="n">
        <f aca="false">IFERROR(MEDIAN(D5:D11),NA())</f>
        <v>13.34</v>
      </c>
      <c r="D22" s="73" t="n">
        <f aca="false">IFERROR((px_now*(shares_basic+dilution)+c_nd)/c_ebitda,NA())</f>
        <v>18.5755214833615</v>
      </c>
      <c r="E22" s="68" t="n">
        <f aca="false">IFERROR((C22*c_ebitda-c_nd)/(shares_basic+dilution),NA())</f>
        <v>329.654542357659</v>
      </c>
      <c r="F22" s="70" t="n">
        <v>0.4</v>
      </c>
      <c r="G22" s="68" t="n">
        <f aca="false">IF(ISNUMBER(E22),E22*F22,0)</f>
        <v>131.861816943064</v>
      </c>
      <c r="H22" s="33"/>
      <c r="I22" s="33"/>
      <c r="J22" s="33"/>
      <c r="K22" s="33"/>
      <c r="L22" s="33"/>
    </row>
    <row r="23" customFormat="false" ht="15" hidden="false" customHeight="false" outlineLevel="0" collapsed="false">
      <c r="A23" s="36" t="s">
        <v>459</v>
      </c>
      <c r="B23" s="35"/>
      <c r="C23" s="73" t="n">
        <f aca="false">IFERROR(MEDIAN(E5:E11),NA())</f>
        <v>2.2</v>
      </c>
      <c r="D23" s="73" t="n">
        <f aca="false">IFERROR((px_now*(shares_basic+dilution)+c_nd)/c_rev,NA())</f>
        <v>2.17820103108466</v>
      </c>
      <c r="E23" s="68" t="n">
        <f aca="false">IFERROR((C23*c_rev-c_nd)/(shares_basic+dilution),NA())</f>
        <v>478.49367461018</v>
      </c>
      <c r="F23" s="70" t="n">
        <v>0.2</v>
      </c>
      <c r="G23" s="68" t="n">
        <f aca="false">IF(ISNUMBER(E23),E23*F23,0)</f>
        <v>95.6987349220359</v>
      </c>
      <c r="H23" s="33"/>
      <c r="I23" s="33"/>
      <c r="J23" s="33"/>
      <c r="K23" s="33"/>
      <c r="L23" s="33"/>
    </row>
    <row r="24" customFormat="false" ht="15" hidden="false" customHeight="false" outlineLevel="0" collapsed="false">
      <c r="A24" s="34" t="s">
        <v>484</v>
      </c>
      <c r="B24" s="35"/>
      <c r="C24" s="35"/>
      <c r="D24" s="35"/>
      <c r="E24" s="67" t="n">
        <f aca="false">IF(SUMPRODUCT(--ISNUMBER(E21:E23),F21:F23)&gt;0,SUM(G21:G23)/SUMPRODUCT(--ISNUMBER(E21:E23),F21:F23),NA())</f>
        <v>369.4063118651</v>
      </c>
      <c r="F24" s="35"/>
      <c r="G24" s="35"/>
      <c r="H24" s="33"/>
      <c r="I24" s="33"/>
      <c r="J24" s="33"/>
      <c r="K24" s="33"/>
      <c r="L24" s="33"/>
    </row>
    <row r="25" customFormat="false" ht="15" hidden="false" customHeight="false" outlineLevel="0" collapsed="false">
      <c r="A25" s="30"/>
      <c r="B25" s="30"/>
      <c r="C25" s="30"/>
      <c r="D25" s="30"/>
      <c r="E25" s="30"/>
      <c r="F25" s="30"/>
      <c r="G25" s="30"/>
    </row>
    <row r="26" customFormat="false" ht="15" hidden="false" customHeight="false" outlineLevel="0" collapsed="false">
      <c r="A26" s="30"/>
      <c r="B26" s="30"/>
      <c r="C26" s="30"/>
      <c r="D26" s="30"/>
      <c r="E26" s="30"/>
      <c r="F26" s="30"/>
      <c r="G26" s="30"/>
    </row>
    <row r="27" customFormat="false" ht="16.15" hidden="false" customHeight="false" outlineLevel="0" collapsed="false">
      <c r="A27" s="54" t="s">
        <v>485</v>
      </c>
      <c r="B27" s="35"/>
      <c r="C27" s="35"/>
      <c r="D27" s="35"/>
      <c r="E27" s="35"/>
      <c r="F27" s="35"/>
      <c r="G27" s="35"/>
      <c r="H27" s="33"/>
      <c r="I27" s="33"/>
      <c r="J27" s="33"/>
      <c r="K27" s="33"/>
      <c r="L27" s="33"/>
    </row>
    <row r="28" customFormat="false" ht="15" hidden="false" customHeight="false" outlineLevel="0" collapsed="false">
      <c r="A28" s="31" t="s">
        <v>455</v>
      </c>
      <c r="B28" s="32"/>
      <c r="C28" s="32" t="s">
        <v>486</v>
      </c>
      <c r="D28" s="32" t="s">
        <v>487</v>
      </c>
      <c r="E28" s="35"/>
      <c r="F28" s="35"/>
      <c r="G28" s="35"/>
      <c r="H28" s="33"/>
      <c r="I28" s="33"/>
      <c r="J28" s="33"/>
      <c r="K28" s="33"/>
      <c r="L28" s="33"/>
    </row>
    <row r="29" customFormat="false" ht="15" hidden="false" customHeight="false" outlineLevel="0" collapsed="false">
      <c r="A29" s="36" t="s">
        <v>460</v>
      </c>
      <c r="B29" s="35"/>
      <c r="C29" s="50" t="n">
        <v>0.3968</v>
      </c>
      <c r="D29" s="74" t="n">
        <v>12.6</v>
      </c>
      <c r="E29" s="35"/>
      <c r="F29" s="35"/>
      <c r="G29" s="35"/>
      <c r="H29" s="33"/>
      <c r="I29" s="33"/>
      <c r="J29" s="33"/>
      <c r="K29" s="33"/>
      <c r="L29" s="33"/>
    </row>
    <row r="30" customFormat="false" ht="15" hidden="false" customHeight="false" outlineLevel="0" collapsed="false">
      <c r="A30" s="36" t="s">
        <v>462</v>
      </c>
      <c r="B30" s="35"/>
      <c r="C30" s="50" t="n">
        <v>0.0261</v>
      </c>
      <c r="D30" s="74" t="n">
        <v>10.19</v>
      </c>
      <c r="E30" s="35"/>
      <c r="F30" s="35"/>
      <c r="G30" s="35"/>
      <c r="H30" s="33"/>
      <c r="I30" s="33"/>
      <c r="J30" s="33"/>
      <c r="K30" s="33"/>
      <c r="L30" s="33"/>
    </row>
    <row r="31" customFormat="false" ht="15" hidden="false" customHeight="false" outlineLevel="0" collapsed="false">
      <c r="A31" s="36" t="s">
        <v>464</v>
      </c>
      <c r="B31" s="35"/>
      <c r="C31" s="50" t="n">
        <v>0.1832</v>
      </c>
      <c r="D31" s="74" t="n">
        <v>8.09</v>
      </c>
      <c r="E31" s="35"/>
      <c r="F31" s="35"/>
      <c r="G31" s="35"/>
      <c r="H31" s="33"/>
      <c r="I31" s="33"/>
      <c r="J31" s="33"/>
      <c r="K31" s="33"/>
      <c r="L31" s="33"/>
    </row>
    <row r="32" customFormat="false" ht="15" hidden="false" customHeight="false" outlineLevel="0" collapsed="false">
      <c r="A32" s="36" t="s">
        <v>466</v>
      </c>
      <c r="B32" s="35"/>
      <c r="C32" s="50" t="n">
        <v>0.1565</v>
      </c>
      <c r="D32" s="74" t="n">
        <v>22.36</v>
      </c>
      <c r="E32" s="35"/>
      <c r="F32" s="35"/>
      <c r="G32" s="35"/>
      <c r="H32" s="33"/>
      <c r="I32" s="33"/>
      <c r="J32" s="33"/>
      <c r="K32" s="33"/>
      <c r="L32" s="33"/>
    </row>
    <row r="33" customFormat="false" ht="15" hidden="false" customHeight="false" outlineLevel="0" collapsed="false">
      <c r="A33" s="36" t="s">
        <v>468</v>
      </c>
      <c r="B33" s="35"/>
      <c r="C33" s="50" t="n">
        <v>0.3953</v>
      </c>
      <c r="D33" s="74" t="n">
        <v>41.01</v>
      </c>
      <c r="E33" s="35"/>
      <c r="F33" s="35"/>
      <c r="G33" s="35"/>
      <c r="H33" s="33"/>
      <c r="I33" s="33"/>
      <c r="J33" s="33"/>
      <c r="K33" s="33"/>
      <c r="L33" s="33"/>
    </row>
    <row r="34" customFormat="false" ht="15" hidden="false" customHeight="false" outlineLevel="0" collapsed="false">
      <c r="A34" s="36" t="s">
        <v>470</v>
      </c>
      <c r="B34" s="35"/>
      <c r="C34" s="50" t="n">
        <v>0.6572</v>
      </c>
      <c r="D34" s="74" t="n">
        <v>21.15</v>
      </c>
      <c r="E34" s="35"/>
      <c r="F34" s="35"/>
      <c r="G34" s="35"/>
      <c r="H34" s="33"/>
      <c r="I34" s="33"/>
      <c r="J34" s="33"/>
      <c r="K34" s="33"/>
      <c r="L34" s="33"/>
    </row>
    <row r="35" customFormat="false" ht="15" hidden="false" customHeight="false" outlineLevel="0" collapsed="false">
      <c r="A35" s="36" t="s">
        <v>488</v>
      </c>
      <c r="B35" s="35"/>
      <c r="C35" s="50" t="n">
        <v>0.1246</v>
      </c>
      <c r="D35" s="74" t="n">
        <v>21.35</v>
      </c>
      <c r="E35" s="35"/>
      <c r="F35" s="35"/>
      <c r="G35" s="35"/>
      <c r="H35" s="33"/>
      <c r="I35" s="33"/>
      <c r="J35" s="33"/>
      <c r="K35" s="33"/>
      <c r="L35" s="33"/>
    </row>
    <row r="36" customFormat="false" ht="15" hidden="false" customHeight="false" outlineLevel="0" collapsed="false">
      <c r="A36" s="36" t="s">
        <v>489</v>
      </c>
      <c r="B36" s="35"/>
      <c r="C36" s="50" t="n">
        <v>0.2968</v>
      </c>
      <c r="D36" s="74" t="n">
        <v>39.9</v>
      </c>
      <c r="E36" s="35"/>
      <c r="F36" s="35"/>
      <c r="G36" s="35"/>
      <c r="H36" s="33"/>
      <c r="I36" s="33"/>
      <c r="J36" s="33"/>
      <c r="K36" s="33"/>
      <c r="L36" s="33"/>
    </row>
    <row r="37" customFormat="false" ht="15" hidden="false" customHeight="false" outlineLevel="0" collapsed="false">
      <c r="A37" s="30"/>
      <c r="B37" s="30"/>
      <c r="C37" s="30"/>
      <c r="D37" s="30"/>
      <c r="E37" s="30"/>
      <c r="F37" s="30"/>
      <c r="G37" s="30"/>
    </row>
    <row r="38" customFormat="false" ht="15" hidden="false" customHeight="false" outlineLevel="0" collapsed="false">
      <c r="A38" s="36" t="s">
        <v>490</v>
      </c>
      <c r="B38" s="35"/>
      <c r="C38" s="35"/>
      <c r="D38" s="35"/>
      <c r="E38" s="65" t="n">
        <f aca="false">SLOPE(D29:D36,C29:C36)</f>
        <v>19.3677429485766</v>
      </c>
      <c r="F38" s="35"/>
      <c r="G38" s="35"/>
      <c r="H38" s="33"/>
      <c r="I38" s="33"/>
      <c r="J38" s="33"/>
      <c r="K38" s="33"/>
      <c r="L38" s="33"/>
    </row>
    <row r="39" customFormat="false" ht="15" hidden="false" customHeight="false" outlineLevel="0" collapsed="false">
      <c r="A39" s="36" t="s">
        <v>491</v>
      </c>
      <c r="B39" s="35"/>
      <c r="C39" s="35"/>
      <c r="D39" s="35"/>
      <c r="E39" s="65" t="n">
        <f aca="false">INTERCEPT(D29:D36,C29:C36)</f>
        <v>16.6667553619386</v>
      </c>
      <c r="F39" s="35"/>
      <c r="G39" s="35"/>
      <c r="H39" s="33"/>
      <c r="I39" s="33"/>
      <c r="J39" s="33"/>
      <c r="K39" s="33"/>
      <c r="L39" s="33"/>
    </row>
    <row r="40" customFormat="false" ht="15" hidden="false" customHeight="false" outlineLevel="0" collapsed="false">
      <c r="A40" s="36" t="s">
        <v>492</v>
      </c>
      <c r="B40" s="35"/>
      <c r="C40" s="35"/>
      <c r="D40" s="35"/>
      <c r="E40" s="65" t="n">
        <f aca="false">RSQ(D29:D36,C29:C36)</f>
        <v>0.0960360738219698</v>
      </c>
      <c r="F40" s="35"/>
      <c r="G40" s="35"/>
      <c r="H40" s="33"/>
      <c r="I40" s="33"/>
      <c r="J40" s="33"/>
      <c r="K40" s="33"/>
      <c r="L40" s="33"/>
    </row>
    <row r="41" customFormat="false" ht="15" hidden="false" customHeight="false" outlineLevel="0" collapsed="false">
      <c r="A41" s="36" t="s">
        <v>493</v>
      </c>
      <c r="B41" s="35"/>
      <c r="C41" s="35"/>
      <c r="D41" s="35"/>
      <c r="E41" s="58" t="n">
        <f aca="false">COUNT(C29:C36)</f>
        <v>8</v>
      </c>
      <c r="F41" s="35"/>
      <c r="G41" s="35"/>
      <c r="H41" s="33"/>
      <c r="I41" s="33"/>
      <c r="J41" s="33"/>
      <c r="K41" s="33"/>
      <c r="L41" s="33"/>
    </row>
    <row r="42" customFormat="false" ht="15" hidden="false" customHeight="false" outlineLevel="0" collapsed="false">
      <c r="A42" s="36" t="s">
        <v>494</v>
      </c>
      <c r="B42" s="35"/>
      <c r="C42" s="35"/>
      <c r="D42" s="35"/>
      <c r="E42" s="50" t="n">
        <v>0.0949678495803787</v>
      </c>
      <c r="F42" s="35"/>
      <c r="G42" s="35"/>
      <c r="H42" s="33"/>
      <c r="I42" s="33"/>
      <c r="J42" s="33"/>
      <c r="K42" s="33"/>
      <c r="L42" s="33"/>
    </row>
    <row r="43" customFormat="false" ht="15" hidden="false" customHeight="false" outlineLevel="0" collapsed="false">
      <c r="A43" s="36" t="s">
        <v>495</v>
      </c>
      <c r="B43" s="35"/>
      <c r="C43" s="35"/>
      <c r="D43" s="35"/>
      <c r="E43" s="65" t="n">
        <f aca="false">reg_a+reg_b*c_growth</f>
        <v>18.5060682609904</v>
      </c>
      <c r="F43" s="35"/>
      <c r="G43" s="35"/>
      <c r="H43" s="33"/>
      <c r="I43" s="33"/>
      <c r="J43" s="33"/>
      <c r="K43" s="33"/>
      <c r="L43" s="33"/>
    </row>
    <row r="44" customFormat="false" ht="15" hidden="false" customHeight="false" outlineLevel="0" collapsed="false">
      <c r="A44" s="34" t="s">
        <v>496</v>
      </c>
      <c r="B44" s="35"/>
      <c r="C44" s="35"/>
      <c r="D44" s="35"/>
      <c r="E44" s="67" t="str">
        <f aca="false">IF(AND(reg_n&gt;=3,reg_r2&gt;=reg_min),reg_mult*c_eps,"")</f>
        <v/>
      </c>
      <c r="F44" s="35"/>
      <c r="G44" s="35"/>
      <c r="H44" s="33"/>
      <c r="I44" s="33"/>
      <c r="J44" s="33"/>
      <c r="K44" s="33"/>
      <c r="L44"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true"/>
  </sheetPr>
  <dimension ref="A1:L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12"/>
  </cols>
  <sheetData>
    <row r="1" customFormat="false" ht="25.5" hidden="false" customHeight="true" outlineLevel="0" collapsed="false">
      <c r="A1" s="25" t="s">
        <v>497</v>
      </c>
      <c r="B1" s="26"/>
      <c r="C1" s="26"/>
      <c r="D1" s="26"/>
      <c r="E1" s="26"/>
      <c r="F1" s="26"/>
      <c r="G1" s="26"/>
      <c r="H1" s="1"/>
      <c r="I1" s="1"/>
      <c r="J1" s="1"/>
      <c r="K1" s="1"/>
      <c r="L1" s="1"/>
    </row>
    <row r="2" customFormat="false" ht="15.75" hidden="false" customHeight="true" outlineLevel="0" collapsed="false">
      <c r="A2" s="27" t="s">
        <v>498</v>
      </c>
      <c r="B2" s="28"/>
      <c r="C2" s="28"/>
      <c r="D2" s="28"/>
      <c r="E2" s="28"/>
      <c r="F2" s="28"/>
      <c r="G2" s="75" t="s">
        <v>499</v>
      </c>
      <c r="H2" s="29"/>
      <c r="I2" s="29"/>
      <c r="J2" s="29"/>
      <c r="K2" s="29"/>
      <c r="L2" s="29"/>
    </row>
    <row r="3" customFormat="false" ht="15" hidden="false" customHeight="false" outlineLevel="0" collapsed="false">
      <c r="A3" s="30"/>
      <c r="B3" s="30"/>
      <c r="C3" s="30"/>
      <c r="D3" s="30"/>
      <c r="E3" s="30"/>
      <c r="F3" s="30"/>
      <c r="G3" s="30"/>
    </row>
    <row r="4" customFormat="false" ht="15" hidden="false" customHeight="false" outlineLevel="0" collapsed="false">
      <c r="A4" s="31" t="s">
        <v>500</v>
      </c>
      <c r="B4" s="32" t="s">
        <v>501</v>
      </c>
      <c r="C4" s="32" t="s">
        <v>502</v>
      </c>
      <c r="D4" s="32" t="s">
        <v>503</v>
      </c>
      <c r="E4" s="32" t="s">
        <v>504</v>
      </c>
      <c r="F4" s="35"/>
      <c r="G4" s="35"/>
      <c r="H4" s="33"/>
      <c r="I4" s="33"/>
      <c r="J4" s="33"/>
      <c r="K4" s="33"/>
      <c r="L4" s="33"/>
    </row>
    <row r="5" customFormat="false" ht="15" hidden="false" customHeight="false" outlineLevel="0" collapsed="false">
      <c r="A5" s="36" t="s">
        <v>505</v>
      </c>
      <c r="B5" s="76" t="n">
        <v>122.9011</v>
      </c>
      <c r="C5" s="77" t="n">
        <v>5842.4702</v>
      </c>
      <c r="D5" s="35"/>
      <c r="E5" s="35"/>
      <c r="F5" s="35"/>
      <c r="G5" s="35"/>
      <c r="H5" s="33"/>
      <c r="I5" s="33"/>
      <c r="J5" s="33"/>
      <c r="K5" s="33"/>
      <c r="L5" s="33"/>
    </row>
    <row r="6" customFormat="false" ht="15" hidden="false" customHeight="false" outlineLevel="0" collapsed="false">
      <c r="A6" s="36" t="s">
        <v>506</v>
      </c>
      <c r="B6" s="76" t="n">
        <v>125.277</v>
      </c>
      <c r="C6" s="77" t="n">
        <v>5841.4702</v>
      </c>
      <c r="D6" s="45" t="n">
        <f aca="false">B6/B5-1</f>
        <v>0.0193318041905239</v>
      </c>
      <c r="E6" s="45" t="n">
        <f aca="false">C6/C5-1</f>
        <v>-0.00017116047934651</v>
      </c>
      <c r="F6" s="35"/>
      <c r="G6" s="35"/>
      <c r="H6" s="33"/>
      <c r="I6" s="33"/>
      <c r="J6" s="33"/>
      <c r="K6" s="33"/>
      <c r="L6" s="33"/>
    </row>
    <row r="7" customFormat="false" ht="15" hidden="false" customHeight="false" outlineLevel="0" collapsed="false">
      <c r="A7" s="36" t="s">
        <v>507</v>
      </c>
      <c r="B7" s="76" t="n">
        <v>122.6392</v>
      </c>
      <c r="C7" s="77" t="n">
        <v>5864.6699</v>
      </c>
      <c r="D7" s="45" t="n">
        <f aca="false">B7/B6-1</f>
        <v>-0.0210557404790983</v>
      </c>
      <c r="E7" s="45" t="n">
        <f aca="false">C7/C6-1</f>
        <v>0.00397155154536266</v>
      </c>
      <c r="F7" s="35"/>
      <c r="G7" s="35"/>
      <c r="H7" s="33"/>
      <c r="I7" s="33"/>
      <c r="J7" s="33"/>
      <c r="K7" s="33"/>
      <c r="L7" s="33"/>
    </row>
    <row r="8" customFormat="false" ht="15" hidden="false" customHeight="false" outlineLevel="0" collapsed="false">
      <c r="A8" s="36" t="s">
        <v>508</v>
      </c>
      <c r="B8" s="76" t="n">
        <v>121.8634</v>
      </c>
      <c r="C8" s="77" t="n">
        <v>5853.98</v>
      </c>
      <c r="D8" s="45" t="n">
        <f aca="false">B8/B7-1</f>
        <v>-0.00632587296720788</v>
      </c>
      <c r="E8" s="45" t="n">
        <f aca="false">C8/C7-1</f>
        <v>-0.00182276243714929</v>
      </c>
      <c r="F8" s="35"/>
      <c r="G8" s="35"/>
      <c r="H8" s="33"/>
      <c r="I8" s="33"/>
      <c r="J8" s="33"/>
      <c r="K8" s="33"/>
      <c r="L8" s="33"/>
    </row>
    <row r="9" customFormat="false" ht="15" hidden="false" customHeight="false" outlineLevel="0" collapsed="false">
      <c r="A9" s="36" t="s">
        <v>509</v>
      </c>
      <c r="B9" s="76" t="n">
        <v>117.1773</v>
      </c>
      <c r="C9" s="77" t="n">
        <v>5851.2002</v>
      </c>
      <c r="D9" s="45" t="n">
        <f aca="false">B9/B8-1</f>
        <v>-0.0384537112865716</v>
      </c>
      <c r="E9" s="45" t="n">
        <f aca="false">C9/C8-1</f>
        <v>-0.000474856422468029</v>
      </c>
      <c r="F9" s="35"/>
      <c r="G9" s="35"/>
      <c r="H9" s="33"/>
      <c r="I9" s="33"/>
      <c r="J9" s="33"/>
      <c r="K9" s="33"/>
      <c r="L9" s="33"/>
    </row>
    <row r="10" customFormat="false" ht="15" hidden="false" customHeight="false" outlineLevel="0" collapsed="false">
      <c r="A10" s="36" t="s">
        <v>510</v>
      </c>
      <c r="B10" s="76" t="n">
        <v>116.2916</v>
      </c>
      <c r="C10" s="77" t="n">
        <v>5797.4199</v>
      </c>
      <c r="D10" s="45" t="n">
        <f aca="false">B10/B9-1</f>
        <v>-0.00755863123659617</v>
      </c>
      <c r="E10" s="45" t="n">
        <f aca="false">C10/C9-1</f>
        <v>-0.00919132796037303</v>
      </c>
      <c r="F10" s="35"/>
      <c r="G10" s="35"/>
      <c r="H10" s="33"/>
      <c r="I10" s="33"/>
      <c r="J10" s="33"/>
      <c r="K10" s="33"/>
      <c r="L10" s="33"/>
    </row>
    <row r="11" customFormat="false" ht="15" hidden="false" customHeight="false" outlineLevel="0" collapsed="false">
      <c r="A11" s="36" t="s">
        <v>511</v>
      </c>
      <c r="B11" s="76" t="n">
        <v>117.3427</v>
      </c>
      <c r="C11" s="77" t="n">
        <v>5809.8599</v>
      </c>
      <c r="D11" s="45" t="n">
        <f aca="false">B11/B10-1</f>
        <v>0.00903848601274726</v>
      </c>
      <c r="E11" s="45" t="n">
        <f aca="false">C11/C10-1</f>
        <v>0.00214578212628691</v>
      </c>
      <c r="F11" s="35"/>
      <c r="G11" s="35"/>
      <c r="H11" s="33"/>
      <c r="I11" s="33"/>
      <c r="J11" s="33"/>
      <c r="K11" s="33"/>
      <c r="L11" s="33"/>
    </row>
    <row r="12" customFormat="false" ht="15" hidden="false" customHeight="false" outlineLevel="0" collapsed="false">
      <c r="A12" s="36" t="s">
        <v>512</v>
      </c>
      <c r="B12" s="76" t="n">
        <v>119.2697</v>
      </c>
      <c r="C12" s="77" t="n">
        <v>5808.1201</v>
      </c>
      <c r="D12" s="45" t="n">
        <f aca="false">B12/B11-1</f>
        <v>0.0164219844949878</v>
      </c>
      <c r="E12" s="45" t="n">
        <f aca="false">C12/C11-1</f>
        <v>-0.000299456446445467</v>
      </c>
      <c r="F12" s="35"/>
      <c r="G12" s="35"/>
      <c r="H12" s="33"/>
      <c r="I12" s="33"/>
      <c r="J12" s="33"/>
      <c r="K12" s="33"/>
      <c r="L12" s="33"/>
    </row>
    <row r="13" customFormat="false" ht="15" hidden="false" customHeight="false" outlineLevel="0" collapsed="false">
      <c r="A13" s="36" t="s">
        <v>513</v>
      </c>
      <c r="B13" s="76" t="n">
        <v>117.4303</v>
      </c>
      <c r="C13" s="77" t="n">
        <v>5823.52</v>
      </c>
      <c r="D13" s="45" t="n">
        <f aca="false">B13/B12-1</f>
        <v>-0.0154221902126022</v>
      </c>
      <c r="E13" s="45" t="n">
        <f aca="false">C13/C12-1</f>
        <v>0.00265144310635046</v>
      </c>
      <c r="F13" s="35"/>
      <c r="G13" s="35"/>
      <c r="H13" s="33"/>
      <c r="I13" s="33"/>
      <c r="J13" s="33"/>
      <c r="K13" s="33"/>
      <c r="L13" s="33"/>
    </row>
    <row r="14" customFormat="false" ht="15" hidden="false" customHeight="false" outlineLevel="0" collapsed="false">
      <c r="A14" s="36" t="s">
        <v>514</v>
      </c>
      <c r="B14" s="76" t="n">
        <v>118.3743</v>
      </c>
      <c r="C14" s="77" t="n">
        <v>5832.9199</v>
      </c>
      <c r="D14" s="45" t="n">
        <f aca="false">B14/B13-1</f>
        <v>0.00803881110752514</v>
      </c>
      <c r="E14" s="45" t="n">
        <f aca="false">C14/C13-1</f>
        <v>0.00161412685111406</v>
      </c>
      <c r="F14" s="35"/>
      <c r="G14" s="35"/>
      <c r="H14" s="33"/>
      <c r="I14" s="33"/>
      <c r="J14" s="33"/>
      <c r="K14" s="33"/>
      <c r="L14" s="33"/>
    </row>
    <row r="15" customFormat="false" ht="15" hidden="false" customHeight="false" outlineLevel="0" collapsed="false">
      <c r="A15" s="36" t="s">
        <v>515</v>
      </c>
      <c r="B15" s="76" t="n">
        <v>125.9363</v>
      </c>
      <c r="C15" s="77" t="n">
        <v>5813.6699</v>
      </c>
      <c r="D15" s="45" t="n">
        <f aca="false">B15/B14-1</f>
        <v>0.0638821095457376</v>
      </c>
      <c r="E15" s="45" t="n">
        <f aca="false">C15/C14-1</f>
        <v>-0.00330023390172052</v>
      </c>
      <c r="F15" s="35"/>
      <c r="G15" s="35"/>
      <c r="H15" s="33"/>
      <c r="I15" s="33"/>
      <c r="J15" s="33"/>
      <c r="K15" s="33"/>
      <c r="L15" s="33"/>
    </row>
    <row r="16" customFormat="false" ht="15" hidden="false" customHeight="false" outlineLevel="0" collapsed="false">
      <c r="A16" s="36" t="s">
        <v>516</v>
      </c>
      <c r="B16" s="76" t="n">
        <v>120.3208</v>
      </c>
      <c r="C16" s="77" t="n">
        <v>5705.4502</v>
      </c>
      <c r="D16" s="45" t="n">
        <f aca="false">B16/B15-1</f>
        <v>-0.0445900030412201</v>
      </c>
      <c r="E16" s="45" t="n">
        <f aca="false">C16/C15-1</f>
        <v>-0.0186146963727678</v>
      </c>
      <c r="F16" s="35"/>
      <c r="G16" s="35"/>
      <c r="H16" s="33"/>
      <c r="I16" s="33"/>
      <c r="J16" s="33"/>
      <c r="K16" s="33"/>
      <c r="L16" s="33"/>
    </row>
    <row r="17" customFormat="false" ht="15" hidden="false" customHeight="false" outlineLevel="0" collapsed="false">
      <c r="A17" s="36" t="s">
        <v>517</v>
      </c>
      <c r="B17" s="76" t="n">
        <v>127.367</v>
      </c>
      <c r="C17" s="77" t="n">
        <v>5728.7998</v>
      </c>
      <c r="D17" s="45" t="n">
        <f aca="false">B17/B16-1</f>
        <v>0.0585617781796663</v>
      </c>
      <c r="E17" s="45" t="n">
        <f aca="false">C17/C16-1</f>
        <v>0.00409250789709814</v>
      </c>
      <c r="F17" s="35"/>
      <c r="G17" s="35"/>
      <c r="H17" s="33"/>
      <c r="I17" s="33"/>
      <c r="J17" s="33"/>
      <c r="K17" s="33"/>
      <c r="L17" s="33"/>
    </row>
    <row r="18" customFormat="false" ht="15" hidden="false" customHeight="false" outlineLevel="0" collapsed="false">
      <c r="A18" s="36" t="s">
        <v>518</v>
      </c>
      <c r="B18" s="76" t="n">
        <v>126.3743</v>
      </c>
      <c r="C18" s="77" t="n">
        <v>5712.6899</v>
      </c>
      <c r="D18" s="45" t="n">
        <f aca="false">B18/B17-1</f>
        <v>-0.0077940125778263</v>
      </c>
      <c r="E18" s="45" t="n">
        <f aca="false">C18/C17-1</f>
        <v>-0.00281208989010218</v>
      </c>
      <c r="F18" s="35"/>
      <c r="G18" s="35"/>
      <c r="H18" s="33"/>
      <c r="I18" s="33"/>
      <c r="J18" s="33"/>
      <c r="K18" s="33"/>
      <c r="L18" s="33"/>
    </row>
    <row r="19" customFormat="false" ht="15" hidden="false" customHeight="false" outlineLevel="0" collapsed="false">
      <c r="A19" s="36" t="s">
        <v>519</v>
      </c>
      <c r="B19" s="76" t="n">
        <v>129.8877</v>
      </c>
      <c r="C19" s="77" t="n">
        <v>5782.7598</v>
      </c>
      <c r="D19" s="45" t="n">
        <f aca="false">B19/B18-1</f>
        <v>0.0278015387622323</v>
      </c>
      <c r="E19" s="45" t="n">
        <f aca="false">C19/C18-1</f>
        <v>0.0122656578996174</v>
      </c>
      <c r="F19" s="35"/>
      <c r="G19" s="35"/>
      <c r="H19" s="33"/>
      <c r="I19" s="33"/>
      <c r="J19" s="33"/>
      <c r="K19" s="33"/>
      <c r="L19" s="33"/>
    </row>
    <row r="20" customFormat="false" ht="15" hidden="false" customHeight="false" outlineLevel="0" collapsed="false">
      <c r="A20" s="36" t="s">
        <v>520</v>
      </c>
      <c r="B20" s="76" t="n">
        <v>134.6468</v>
      </c>
      <c r="C20" s="77" t="n">
        <v>5929.04</v>
      </c>
      <c r="D20" s="45" t="n">
        <f aca="false">B20/B19-1</f>
        <v>0.0366401129591178</v>
      </c>
      <c r="E20" s="45" t="n">
        <f aca="false">C20/C19-1</f>
        <v>0.0252959149366709</v>
      </c>
      <c r="F20" s="35"/>
      <c r="G20" s="35"/>
      <c r="H20" s="33"/>
      <c r="I20" s="33"/>
      <c r="J20" s="33"/>
      <c r="K20" s="33"/>
      <c r="L20" s="33"/>
    </row>
    <row r="21" customFormat="false" ht="15" hidden="false" customHeight="false" outlineLevel="0" collapsed="false">
      <c r="A21" s="36" t="s">
        <v>521</v>
      </c>
      <c r="B21" s="76" t="n">
        <v>134.1797</v>
      </c>
      <c r="C21" s="77" t="n">
        <v>5973.1001</v>
      </c>
      <c r="D21" s="45" t="n">
        <f aca="false">B21/B20-1</f>
        <v>-0.00346907613103331</v>
      </c>
      <c r="E21" s="45" t="n">
        <f aca="false">C21/C20-1</f>
        <v>0.00743123676008262</v>
      </c>
      <c r="F21" s="35"/>
      <c r="G21" s="35"/>
      <c r="H21" s="33"/>
      <c r="I21" s="33"/>
      <c r="J21" s="33"/>
      <c r="K21" s="33"/>
      <c r="L21" s="33"/>
    </row>
    <row r="22" customFormat="false" ht="15" hidden="false" customHeight="false" outlineLevel="0" collapsed="false">
      <c r="A22" s="36" t="s">
        <v>522</v>
      </c>
      <c r="B22" s="76" t="n">
        <v>130.6371</v>
      </c>
      <c r="C22" s="77" t="n">
        <v>5995.54</v>
      </c>
      <c r="D22" s="45" t="n">
        <f aca="false">B22/B21-1</f>
        <v>-0.026401907292981</v>
      </c>
      <c r="E22" s="45" t="n">
        <f aca="false">C22/C21-1</f>
        <v>0.00375682637563712</v>
      </c>
      <c r="F22" s="35"/>
      <c r="G22" s="35"/>
      <c r="H22" s="33"/>
      <c r="I22" s="33"/>
      <c r="J22" s="33"/>
      <c r="K22" s="33"/>
      <c r="L22" s="33"/>
    </row>
    <row r="23" customFormat="false" ht="15" hidden="false" customHeight="false" outlineLevel="0" collapsed="false">
      <c r="A23" s="36" t="s">
        <v>523</v>
      </c>
      <c r="B23" s="76" t="n">
        <v>134.8025</v>
      </c>
      <c r="C23" s="77" t="n">
        <v>6001.3501</v>
      </c>
      <c r="D23" s="45" t="n">
        <f aca="false">B23/B22-1</f>
        <v>0.0318852760816033</v>
      </c>
      <c r="E23" s="45" t="n">
        <f aca="false">C23/C22-1</f>
        <v>0.00096907034228777</v>
      </c>
      <c r="F23" s="35"/>
      <c r="G23" s="35"/>
      <c r="H23" s="33"/>
      <c r="I23" s="33"/>
      <c r="J23" s="33"/>
      <c r="K23" s="33"/>
      <c r="L23" s="33"/>
    </row>
    <row r="24" customFormat="false" ht="15" hidden="false" customHeight="false" outlineLevel="0" collapsed="false">
      <c r="A24" s="36" t="s">
        <v>524</v>
      </c>
      <c r="B24" s="76" t="n">
        <v>132.8171</v>
      </c>
      <c r="C24" s="77" t="n">
        <v>5983.9902</v>
      </c>
      <c r="D24" s="45" t="n">
        <f aca="false">B24/B23-1</f>
        <v>-0.0147282134975242</v>
      </c>
      <c r="E24" s="45" t="n">
        <f aca="false">C24/C23-1</f>
        <v>-0.00289266576865754</v>
      </c>
      <c r="F24" s="35"/>
      <c r="G24" s="35"/>
      <c r="H24" s="33"/>
      <c r="I24" s="33"/>
      <c r="J24" s="33"/>
      <c r="K24" s="33"/>
      <c r="L24" s="33"/>
    </row>
    <row r="25" customFormat="false" ht="15" hidden="false" customHeight="false" outlineLevel="0" collapsed="false">
      <c r="A25" s="36" t="s">
        <v>525</v>
      </c>
      <c r="B25" s="76" t="n">
        <v>130.929</v>
      </c>
      <c r="C25" s="77" t="n">
        <v>5985.3799</v>
      </c>
      <c r="D25" s="45" t="n">
        <f aca="false">B25/B24-1</f>
        <v>-0.0142157899848741</v>
      </c>
      <c r="E25" s="45" t="n">
        <f aca="false">C25/C24-1</f>
        <v>0.000232236342900372</v>
      </c>
      <c r="F25" s="35"/>
      <c r="G25" s="35"/>
      <c r="H25" s="33"/>
      <c r="I25" s="33"/>
      <c r="J25" s="33"/>
      <c r="K25" s="33"/>
      <c r="L25" s="33"/>
    </row>
    <row r="26" customFormat="false" ht="15" hidden="false" customHeight="false" outlineLevel="0" collapsed="false">
      <c r="A26" s="36" t="s">
        <v>526</v>
      </c>
      <c r="B26" s="76" t="n">
        <v>130.8317</v>
      </c>
      <c r="C26" s="77" t="n">
        <v>5949.1699</v>
      </c>
      <c r="D26" s="45" t="n">
        <f aca="false">B26/B25-1</f>
        <v>-0.000743150868027676</v>
      </c>
      <c r="E26" s="45" t="n">
        <f aca="false">C26/C25-1</f>
        <v>-0.00604974130380598</v>
      </c>
      <c r="F26" s="35"/>
      <c r="G26" s="35"/>
      <c r="H26" s="33"/>
      <c r="I26" s="33"/>
      <c r="J26" s="33"/>
      <c r="K26" s="33"/>
      <c r="L26" s="33"/>
    </row>
    <row r="27" customFormat="false" ht="15" hidden="false" customHeight="false" outlineLevel="0" collapsed="false">
      <c r="A27" s="36" t="s">
        <v>527</v>
      </c>
      <c r="B27" s="76" t="n">
        <v>128.1164</v>
      </c>
      <c r="C27" s="77" t="n">
        <v>5870.6201</v>
      </c>
      <c r="D27" s="45" t="n">
        <f aca="false">B27/B26-1</f>
        <v>-0.0207541444466441</v>
      </c>
      <c r="E27" s="45" t="n">
        <f aca="false">C27/C26-1</f>
        <v>-0.0132034891119851</v>
      </c>
      <c r="F27" s="35"/>
      <c r="G27" s="35"/>
      <c r="H27" s="33"/>
      <c r="I27" s="33"/>
      <c r="J27" s="33"/>
      <c r="K27" s="33"/>
      <c r="L27" s="33"/>
    </row>
    <row r="28" customFormat="false" ht="15" hidden="false" customHeight="false" outlineLevel="0" collapsed="false">
      <c r="A28" s="36" t="s">
        <v>528</v>
      </c>
      <c r="B28" s="76" t="n">
        <v>132.3694</v>
      </c>
      <c r="C28" s="77" t="n">
        <v>5893.6201</v>
      </c>
      <c r="D28" s="45" t="n">
        <f aca="false">B28/B27-1</f>
        <v>0.0331963745468966</v>
      </c>
      <c r="E28" s="45" t="n">
        <f aca="false">C28/C27-1</f>
        <v>0.00391781440601147</v>
      </c>
      <c r="F28" s="35"/>
      <c r="G28" s="35"/>
      <c r="H28" s="33"/>
      <c r="I28" s="33"/>
      <c r="J28" s="33"/>
      <c r="K28" s="33"/>
      <c r="L28" s="33"/>
    </row>
    <row r="29" customFormat="false" ht="15" hidden="false" customHeight="false" outlineLevel="0" collapsed="false">
      <c r="A29" s="36" t="s">
        <v>529</v>
      </c>
      <c r="B29" s="76" t="n">
        <v>132.2624</v>
      </c>
      <c r="C29" s="77" t="n">
        <v>5916.98</v>
      </c>
      <c r="D29" s="45" t="n">
        <f aca="false">B29/B28-1</f>
        <v>-0.000808343922386934</v>
      </c>
      <c r="E29" s="45" t="n">
        <f aca="false">C29/C28-1</f>
        <v>0.00396359107028288</v>
      </c>
      <c r="F29" s="35"/>
      <c r="G29" s="35"/>
      <c r="H29" s="33"/>
      <c r="I29" s="33"/>
      <c r="J29" s="33"/>
      <c r="K29" s="33"/>
      <c r="L29" s="33"/>
    </row>
    <row r="30" customFormat="false" ht="15" hidden="false" customHeight="false" outlineLevel="0" collapsed="false">
      <c r="A30" s="36" t="s">
        <v>530</v>
      </c>
      <c r="B30" s="76" t="n">
        <v>130.3743</v>
      </c>
      <c r="C30" s="77" t="n">
        <v>5917.1099</v>
      </c>
      <c r="D30" s="45" t="n">
        <f aca="false">B30/B29-1</f>
        <v>-0.014275410093874</v>
      </c>
      <c r="E30" s="45" t="n">
        <f aca="false">C30/C29-1</f>
        <v>2.19537669556846E-005</v>
      </c>
      <c r="F30" s="35"/>
      <c r="G30" s="35"/>
      <c r="H30" s="33"/>
      <c r="I30" s="33"/>
      <c r="J30" s="33"/>
      <c r="K30" s="33"/>
      <c r="L30" s="33"/>
    </row>
    <row r="31" customFormat="false" ht="15" hidden="false" customHeight="false" outlineLevel="0" collapsed="false">
      <c r="A31" s="36" t="s">
        <v>531</v>
      </c>
      <c r="B31" s="76" t="n">
        <v>135.2016</v>
      </c>
      <c r="C31" s="77" t="n">
        <v>5948.71</v>
      </c>
      <c r="D31" s="45" t="n">
        <f aca="false">B31/B30-1</f>
        <v>0.0370264691737559</v>
      </c>
      <c r="E31" s="45" t="n">
        <f aca="false">C31/C30-1</f>
        <v>0.00534046190353843</v>
      </c>
      <c r="F31" s="35"/>
      <c r="G31" s="35"/>
      <c r="H31" s="33"/>
      <c r="I31" s="33"/>
      <c r="J31" s="33"/>
      <c r="K31" s="33"/>
      <c r="L31" s="33"/>
    </row>
    <row r="32" customFormat="false" ht="15" hidden="false" customHeight="false" outlineLevel="0" collapsed="false">
      <c r="A32" s="36" t="s">
        <v>532</v>
      </c>
      <c r="B32" s="76" t="n">
        <v>140.35</v>
      </c>
      <c r="C32" s="77" t="n">
        <v>5969.3398</v>
      </c>
      <c r="D32" s="45" t="n">
        <f aca="false">B32/B31-1</f>
        <v>0.0380794310126507</v>
      </c>
      <c r="E32" s="45" t="n">
        <f aca="false">C32/C31-1</f>
        <v>0.00346794515113347</v>
      </c>
      <c r="F32" s="35"/>
      <c r="G32" s="35"/>
      <c r="H32" s="33"/>
      <c r="I32" s="33"/>
      <c r="J32" s="33"/>
      <c r="K32" s="33"/>
      <c r="L32" s="33"/>
    </row>
    <row r="33" customFormat="false" ht="15" hidden="false" customHeight="false" outlineLevel="0" collapsed="false">
      <c r="A33" s="36" t="s">
        <v>533</v>
      </c>
      <c r="B33" s="76" t="n">
        <v>140.3013</v>
      </c>
      <c r="C33" s="77" t="n">
        <v>5987.3701</v>
      </c>
      <c r="D33" s="45" t="n">
        <f aca="false">B33/B32-1</f>
        <v>-0.000346989668685405</v>
      </c>
      <c r="E33" s="45" t="n">
        <f aca="false">C33/C32-1</f>
        <v>0.00302048477789785</v>
      </c>
      <c r="F33" s="35"/>
      <c r="G33" s="35"/>
      <c r="H33" s="33"/>
      <c r="I33" s="33"/>
      <c r="J33" s="33"/>
      <c r="K33" s="33"/>
      <c r="L33" s="33"/>
    </row>
    <row r="34" customFormat="false" ht="15" hidden="false" customHeight="false" outlineLevel="0" collapsed="false">
      <c r="A34" s="36" t="s">
        <v>534</v>
      </c>
      <c r="B34" s="76" t="n">
        <v>137.9461</v>
      </c>
      <c r="C34" s="77" t="n">
        <v>6021.6299</v>
      </c>
      <c r="D34" s="45" t="n">
        <f aca="false">B34/B33-1</f>
        <v>-0.0167867297024332</v>
      </c>
      <c r="E34" s="45" t="n">
        <f aca="false">C34/C33-1</f>
        <v>0.00572201140530804</v>
      </c>
      <c r="F34" s="35"/>
      <c r="G34" s="35"/>
      <c r="H34" s="33"/>
      <c r="I34" s="33"/>
      <c r="J34" s="33"/>
      <c r="K34" s="33"/>
      <c r="L34" s="33"/>
    </row>
    <row r="35" customFormat="false" ht="15" hidden="false" customHeight="false" outlineLevel="0" collapsed="false">
      <c r="A35" s="36" t="s">
        <v>535</v>
      </c>
      <c r="B35" s="76" t="n">
        <v>121.0507</v>
      </c>
      <c r="C35" s="77" t="n">
        <v>5998.7402</v>
      </c>
      <c r="D35" s="45" t="n">
        <f aca="false">B35/B34-1</f>
        <v>-0.122478272310707</v>
      </c>
      <c r="E35" s="45" t="n">
        <f aca="false">C35/C34-1</f>
        <v>-0.00380124656947112</v>
      </c>
      <c r="F35" s="35"/>
      <c r="G35" s="35"/>
      <c r="H35" s="33"/>
      <c r="I35" s="33"/>
      <c r="J35" s="33"/>
      <c r="K35" s="33"/>
      <c r="L35" s="33"/>
    </row>
    <row r="36" customFormat="false" ht="15" hidden="false" customHeight="false" outlineLevel="0" collapsed="false">
      <c r="A36" s="36" t="s">
        <v>536</v>
      </c>
      <c r="B36" s="76" t="n">
        <v>124.1748</v>
      </c>
      <c r="C36" s="77" t="n">
        <v>6032.3799</v>
      </c>
      <c r="D36" s="45" t="n">
        <f aca="false">B36/B35-1</f>
        <v>0.0258081944177109</v>
      </c>
      <c r="E36" s="45" t="n">
        <f aca="false">C36/C35-1</f>
        <v>0.00560779411650469</v>
      </c>
      <c r="F36" s="35"/>
      <c r="G36" s="35"/>
      <c r="H36" s="33"/>
      <c r="I36" s="33"/>
      <c r="J36" s="33"/>
      <c r="K36" s="33"/>
      <c r="L36" s="33"/>
    </row>
    <row r="37" customFormat="false" ht="15" hidden="false" customHeight="false" outlineLevel="0" collapsed="false">
      <c r="A37" s="36" t="s">
        <v>537</v>
      </c>
      <c r="B37" s="76" t="n">
        <v>122.4716</v>
      </c>
      <c r="C37" s="77" t="n">
        <v>6047.1499</v>
      </c>
      <c r="D37" s="45" t="n">
        <f aca="false">B37/B36-1</f>
        <v>-0.01371614852611</v>
      </c>
      <c r="E37" s="45" t="n">
        <f aca="false">C37/C36-1</f>
        <v>0.00244845322158849</v>
      </c>
      <c r="F37" s="35"/>
      <c r="G37" s="35"/>
      <c r="H37" s="33"/>
      <c r="I37" s="33"/>
      <c r="J37" s="33"/>
      <c r="K37" s="33"/>
      <c r="L37" s="33"/>
    </row>
    <row r="38" customFormat="false" ht="15" hidden="false" customHeight="false" outlineLevel="0" collapsed="false">
      <c r="A38" s="36" t="s">
        <v>538</v>
      </c>
      <c r="B38" s="76" t="n">
        <v>122.1992</v>
      </c>
      <c r="C38" s="77" t="n">
        <v>6049.8799</v>
      </c>
      <c r="D38" s="45" t="n">
        <f aca="false">B38/B37-1</f>
        <v>-0.00222418911813016</v>
      </c>
      <c r="E38" s="45" t="n">
        <f aca="false">C38/C37-1</f>
        <v>0.000451452344516712</v>
      </c>
      <c r="F38" s="35"/>
      <c r="G38" s="35"/>
      <c r="H38" s="33"/>
      <c r="I38" s="33"/>
      <c r="J38" s="33"/>
      <c r="K38" s="33"/>
      <c r="L38" s="33"/>
    </row>
    <row r="39" customFormat="false" ht="15" hidden="false" customHeight="false" outlineLevel="0" collapsed="false">
      <c r="A39" s="36" t="s">
        <v>539</v>
      </c>
      <c r="B39" s="76" t="n">
        <v>122.7247</v>
      </c>
      <c r="C39" s="77" t="n">
        <v>6086.4902</v>
      </c>
      <c r="D39" s="45" t="n">
        <f aca="false">B39/B38-1</f>
        <v>0.00430035548514218</v>
      </c>
      <c r="E39" s="45" t="n">
        <f aca="false">C39/C38-1</f>
        <v>0.00605140938417637</v>
      </c>
      <c r="F39" s="35"/>
      <c r="G39" s="35"/>
      <c r="H39" s="33"/>
      <c r="I39" s="33"/>
      <c r="J39" s="33"/>
      <c r="K39" s="33"/>
      <c r="L39" s="33"/>
    </row>
    <row r="40" customFormat="false" ht="15" hidden="false" customHeight="false" outlineLevel="0" collapsed="false">
      <c r="A40" s="36" t="s">
        <v>540</v>
      </c>
      <c r="B40" s="76" t="n">
        <v>121.7223</v>
      </c>
      <c r="C40" s="77" t="n">
        <v>6075.1099</v>
      </c>
      <c r="D40" s="45" t="n">
        <f aca="false">B40/B39-1</f>
        <v>-0.00816787492656323</v>
      </c>
      <c r="E40" s="45" t="n">
        <f aca="false">C40/C39-1</f>
        <v>-0.00186976395690242</v>
      </c>
      <c r="F40" s="35"/>
      <c r="G40" s="35"/>
      <c r="H40" s="33"/>
      <c r="I40" s="33"/>
      <c r="J40" s="33"/>
      <c r="K40" s="33"/>
      <c r="L40" s="33"/>
    </row>
    <row r="41" customFormat="false" ht="15" hidden="false" customHeight="false" outlineLevel="0" collapsed="false">
      <c r="A41" s="36" t="s">
        <v>541</v>
      </c>
      <c r="B41" s="76" t="n">
        <v>120.097</v>
      </c>
      <c r="C41" s="77" t="n">
        <v>6090.27</v>
      </c>
      <c r="D41" s="45" t="n">
        <f aca="false">B41/B40-1</f>
        <v>-0.0133525245579488</v>
      </c>
      <c r="E41" s="45" t="n">
        <f aca="false">C41/C40-1</f>
        <v>0.00249544456800699</v>
      </c>
      <c r="F41" s="35"/>
      <c r="G41" s="35"/>
      <c r="H41" s="33"/>
      <c r="I41" s="33"/>
      <c r="J41" s="33"/>
      <c r="K41" s="33"/>
      <c r="L41" s="33"/>
    </row>
    <row r="42" customFormat="false" ht="15" hidden="false" customHeight="false" outlineLevel="0" collapsed="false">
      <c r="A42" s="36" t="s">
        <v>542</v>
      </c>
      <c r="B42" s="76" t="n">
        <v>120.496</v>
      </c>
      <c r="C42" s="77" t="n">
        <v>6052.8501</v>
      </c>
      <c r="D42" s="45" t="n">
        <f aca="false">B42/B41-1</f>
        <v>0.00332231446247611</v>
      </c>
      <c r="E42" s="45" t="n">
        <f aca="false">C42/C41-1</f>
        <v>-0.00614421035520607</v>
      </c>
      <c r="F42" s="35"/>
      <c r="G42" s="35"/>
      <c r="H42" s="33"/>
      <c r="I42" s="33"/>
      <c r="J42" s="33"/>
      <c r="K42" s="33"/>
      <c r="L42" s="33"/>
    </row>
    <row r="43" customFormat="false" ht="15" hidden="false" customHeight="false" outlineLevel="0" collapsed="false">
      <c r="A43" s="36" t="s">
        <v>543</v>
      </c>
      <c r="B43" s="76" t="n">
        <v>113.6639</v>
      </c>
      <c r="C43" s="77" t="n">
        <v>6034.9102</v>
      </c>
      <c r="D43" s="45" t="n">
        <f aca="false">B43/B42-1</f>
        <v>-0.0566998074624884</v>
      </c>
      <c r="E43" s="45" t="n">
        <f aca="false">C43/C42-1</f>
        <v>-0.00296387647201102</v>
      </c>
      <c r="F43" s="35"/>
      <c r="G43" s="35"/>
      <c r="H43" s="33"/>
      <c r="I43" s="33"/>
      <c r="J43" s="33"/>
      <c r="K43" s="33"/>
      <c r="L43" s="33"/>
    </row>
    <row r="44" customFormat="false" ht="15" hidden="false" customHeight="false" outlineLevel="0" collapsed="false">
      <c r="A44" s="36" t="s">
        <v>544</v>
      </c>
      <c r="B44" s="76" t="n">
        <v>115.513</v>
      </c>
      <c r="C44" s="77" t="n">
        <v>6084.1899</v>
      </c>
      <c r="D44" s="45" t="n">
        <f aca="false">B44/B43-1</f>
        <v>0.0162681379048231</v>
      </c>
      <c r="E44" s="45" t="n">
        <f aca="false">C44/C43-1</f>
        <v>0.00816577187842826</v>
      </c>
      <c r="F44" s="35"/>
      <c r="G44" s="35"/>
      <c r="H44" s="33"/>
      <c r="I44" s="33"/>
      <c r="J44" s="33"/>
      <c r="K44" s="33"/>
      <c r="L44" s="33"/>
    </row>
    <row r="45" customFormat="false" ht="15" hidden="false" customHeight="false" outlineLevel="0" collapsed="false">
      <c r="A45" s="36" t="s">
        <v>545</v>
      </c>
      <c r="B45" s="76" t="n">
        <v>115.9899</v>
      </c>
      <c r="C45" s="77" t="n">
        <v>6051.25</v>
      </c>
      <c r="D45" s="45" t="n">
        <f aca="false">B45/B44-1</f>
        <v>0.00412853964488846</v>
      </c>
      <c r="E45" s="45" t="n">
        <f aca="false">C45/C44-1</f>
        <v>-0.00541401575910716</v>
      </c>
      <c r="F45" s="35"/>
      <c r="G45" s="35"/>
      <c r="H45" s="33"/>
      <c r="I45" s="33"/>
      <c r="J45" s="33"/>
      <c r="K45" s="33"/>
      <c r="L45" s="33"/>
    </row>
    <row r="46" customFormat="false" ht="15" hidden="false" customHeight="false" outlineLevel="0" collapsed="false">
      <c r="A46" s="36" t="s">
        <v>546</v>
      </c>
      <c r="B46" s="76" t="n">
        <v>115.2795</v>
      </c>
      <c r="C46" s="77" t="n">
        <v>6051.0898</v>
      </c>
      <c r="D46" s="45" t="n">
        <f aca="false">B46/B45-1</f>
        <v>-0.00612467119982008</v>
      </c>
      <c r="E46" s="45" t="n">
        <f aca="false">C46/C45-1</f>
        <v>-2.6473869035315E-005</v>
      </c>
      <c r="F46" s="35"/>
      <c r="G46" s="35"/>
      <c r="H46" s="33"/>
      <c r="I46" s="33"/>
      <c r="J46" s="33"/>
      <c r="K46" s="33"/>
      <c r="L46" s="33"/>
    </row>
    <row r="47" customFormat="false" ht="15" hidden="false" customHeight="false" outlineLevel="0" collapsed="false">
      <c r="A47" s="36" t="s">
        <v>547</v>
      </c>
      <c r="B47" s="76" t="n">
        <v>116.0775</v>
      </c>
      <c r="C47" s="77" t="n">
        <v>6074.0801</v>
      </c>
      <c r="D47" s="45" t="n">
        <f aca="false">B47/B46-1</f>
        <v>0.00692230622096735</v>
      </c>
      <c r="E47" s="45" t="n">
        <f aca="false">C47/C46-1</f>
        <v>0.00379936519864588</v>
      </c>
      <c r="F47" s="35"/>
      <c r="G47" s="35"/>
      <c r="H47" s="33"/>
      <c r="I47" s="33"/>
      <c r="J47" s="33"/>
      <c r="K47" s="33"/>
      <c r="L47" s="33"/>
    </row>
    <row r="48" customFormat="false" ht="15" hidden="false" customHeight="false" outlineLevel="0" collapsed="false">
      <c r="A48" s="36" t="s">
        <v>548</v>
      </c>
      <c r="B48" s="76" t="n">
        <v>115.114</v>
      </c>
      <c r="C48" s="77" t="n">
        <v>6050.6099</v>
      </c>
      <c r="D48" s="45" t="n">
        <f aca="false">B48/B47-1</f>
        <v>-0.00830048889750379</v>
      </c>
      <c r="E48" s="45" t="n">
        <f aca="false">C48/C47-1</f>
        <v>-0.0038639925081001</v>
      </c>
      <c r="F48" s="35"/>
      <c r="G48" s="35"/>
      <c r="H48" s="33"/>
      <c r="I48" s="33"/>
      <c r="J48" s="33"/>
      <c r="K48" s="33"/>
      <c r="L48" s="33"/>
    </row>
    <row r="49" customFormat="false" ht="15" hidden="false" customHeight="false" outlineLevel="0" collapsed="false">
      <c r="A49" s="36" t="s">
        <v>549</v>
      </c>
      <c r="B49" s="76" t="n">
        <v>109.6542</v>
      </c>
      <c r="C49" s="77" t="n">
        <v>5872.1602</v>
      </c>
      <c r="D49" s="45" t="n">
        <f aca="false">B49/B48-1</f>
        <v>-0.0474295046649409</v>
      </c>
      <c r="E49" s="45" t="n">
        <f aca="false">C49/C48-1</f>
        <v>-0.0294928450105502</v>
      </c>
      <c r="F49" s="35"/>
      <c r="G49" s="35"/>
      <c r="H49" s="33"/>
      <c r="I49" s="33"/>
      <c r="J49" s="33"/>
      <c r="K49" s="33"/>
      <c r="L49" s="33"/>
    </row>
    <row r="50" customFormat="false" ht="15" hidden="false" customHeight="false" outlineLevel="0" collapsed="false">
      <c r="A50" s="36" t="s">
        <v>550</v>
      </c>
      <c r="B50" s="76" t="n">
        <v>108.9632</v>
      </c>
      <c r="C50" s="77" t="n">
        <v>5867.0801</v>
      </c>
      <c r="D50" s="45" t="n">
        <f aca="false">B50/B49-1</f>
        <v>-0.00630162820940738</v>
      </c>
      <c r="E50" s="45" t="n">
        <f aca="false">C50/C49-1</f>
        <v>-0.00086511604366657</v>
      </c>
      <c r="F50" s="35"/>
      <c r="G50" s="35"/>
      <c r="H50" s="33"/>
      <c r="I50" s="33"/>
      <c r="J50" s="33"/>
      <c r="K50" s="33"/>
      <c r="L50" s="33"/>
    </row>
    <row r="51" customFormat="false" ht="15" hidden="false" customHeight="false" outlineLevel="0" collapsed="false">
      <c r="A51" s="36" t="s">
        <v>551</v>
      </c>
      <c r="B51" s="76" t="n">
        <v>112.6712</v>
      </c>
      <c r="C51" s="77" t="n">
        <v>5930.8501</v>
      </c>
      <c r="D51" s="45" t="n">
        <f aca="false">B51/B50-1</f>
        <v>0.0340298375965464</v>
      </c>
      <c r="E51" s="45" t="n">
        <f aca="false">C51/C50-1</f>
        <v>0.01086912039943</v>
      </c>
      <c r="F51" s="35"/>
      <c r="G51" s="35"/>
      <c r="H51" s="33"/>
      <c r="I51" s="33"/>
      <c r="J51" s="33"/>
      <c r="K51" s="33"/>
      <c r="L51" s="33"/>
    </row>
    <row r="52" customFormat="false" ht="15" hidden="false" customHeight="false" outlineLevel="0" collapsed="false">
      <c r="A52" s="36" t="s">
        <v>552</v>
      </c>
      <c r="B52" s="76" t="n">
        <v>115.6396</v>
      </c>
      <c r="C52" s="77" t="n">
        <v>5974.0698</v>
      </c>
      <c r="D52" s="45" t="n">
        <f aca="false">B52/B51-1</f>
        <v>0.0263456854990449</v>
      </c>
      <c r="E52" s="45" t="n">
        <f aca="false">C52/C51-1</f>
        <v>0.00728726898695364</v>
      </c>
      <c r="F52" s="35"/>
      <c r="G52" s="35"/>
      <c r="H52" s="33"/>
      <c r="I52" s="33"/>
      <c r="J52" s="33"/>
      <c r="K52" s="33"/>
      <c r="L52" s="33"/>
    </row>
    <row r="53" customFormat="false" ht="15" hidden="false" customHeight="false" outlineLevel="0" collapsed="false">
      <c r="A53" s="36" t="s">
        <v>553</v>
      </c>
      <c r="B53" s="76" t="n">
        <v>115.7563</v>
      </c>
      <c r="C53" s="77" t="n">
        <v>6040.04</v>
      </c>
      <c r="D53" s="45" t="n">
        <f aca="false">B53/B52-1</f>
        <v>0.00100916986914523</v>
      </c>
      <c r="E53" s="45" t="n">
        <f aca="false">C53/C52-1</f>
        <v>0.0110427568154627</v>
      </c>
      <c r="F53" s="35"/>
      <c r="G53" s="35"/>
      <c r="H53" s="33"/>
      <c r="I53" s="33"/>
      <c r="J53" s="33"/>
      <c r="K53" s="33"/>
      <c r="L53" s="33"/>
    </row>
    <row r="54" customFormat="false" ht="15" hidden="false" customHeight="false" outlineLevel="0" collapsed="false">
      <c r="A54" s="36" t="s">
        <v>554</v>
      </c>
      <c r="B54" s="76" t="n">
        <v>116.0872</v>
      </c>
      <c r="C54" s="77" t="n">
        <v>6037.5898</v>
      </c>
      <c r="D54" s="45" t="n">
        <f aca="false">B54/B53-1</f>
        <v>0.00285859171379865</v>
      </c>
      <c r="E54" s="45" t="n">
        <f aca="false">C54/C53-1</f>
        <v>-0.00040565956516847</v>
      </c>
      <c r="F54" s="35"/>
      <c r="G54" s="35"/>
      <c r="H54" s="33"/>
      <c r="I54" s="33"/>
      <c r="J54" s="33"/>
      <c r="K54" s="33"/>
      <c r="L54" s="33"/>
    </row>
    <row r="55" customFormat="false" ht="15" hidden="false" customHeight="false" outlineLevel="0" collapsed="false">
      <c r="A55" s="36" t="s">
        <v>555</v>
      </c>
      <c r="B55" s="76" t="n">
        <v>114.1894</v>
      </c>
      <c r="C55" s="77" t="n">
        <v>5970.8398</v>
      </c>
      <c r="D55" s="45" t="n">
        <f aca="false">B55/B54-1</f>
        <v>-0.0163480555995836</v>
      </c>
      <c r="E55" s="45" t="n">
        <f aca="false">C55/C54-1</f>
        <v>-0.0110557361813484</v>
      </c>
      <c r="F55" s="35"/>
      <c r="G55" s="35"/>
      <c r="H55" s="33"/>
      <c r="I55" s="33"/>
      <c r="J55" s="33"/>
      <c r="K55" s="33"/>
      <c r="L55" s="33"/>
    </row>
    <row r="56" customFormat="false" ht="15" hidden="false" customHeight="false" outlineLevel="0" collapsed="false">
      <c r="A56" s="36" t="s">
        <v>556</v>
      </c>
      <c r="B56" s="76" t="n">
        <v>111.7466</v>
      </c>
      <c r="C56" s="77" t="n">
        <v>5906.9399</v>
      </c>
      <c r="D56" s="45" t="n">
        <f aca="false">B56/B55-1</f>
        <v>-0.0213925285534384</v>
      </c>
      <c r="E56" s="45" t="n">
        <f aca="false">C56/C55-1</f>
        <v>-0.0107019953876504</v>
      </c>
      <c r="F56" s="35"/>
      <c r="G56" s="35"/>
      <c r="H56" s="33"/>
      <c r="I56" s="33"/>
      <c r="J56" s="33"/>
      <c r="K56" s="33"/>
      <c r="L56" s="33"/>
    </row>
    <row r="57" customFormat="false" ht="15" hidden="false" customHeight="false" outlineLevel="0" collapsed="false">
      <c r="A57" s="36" t="s">
        <v>557</v>
      </c>
      <c r="B57" s="76" t="n">
        <v>112.1554</v>
      </c>
      <c r="C57" s="77" t="n">
        <v>5881.6299</v>
      </c>
      <c r="D57" s="45" t="n">
        <f aca="false">B57/B56-1</f>
        <v>0.00365827685137621</v>
      </c>
      <c r="E57" s="45" t="n">
        <f aca="false">C57/C56-1</f>
        <v>-0.00428479050548669</v>
      </c>
      <c r="F57" s="35"/>
      <c r="G57" s="35"/>
      <c r="H57" s="33"/>
      <c r="I57" s="33"/>
      <c r="J57" s="33"/>
      <c r="K57" s="33"/>
      <c r="L57" s="33"/>
    </row>
    <row r="58" customFormat="false" ht="15" hidden="false" customHeight="false" outlineLevel="0" collapsed="false">
      <c r="A58" s="36" t="s">
        <v>558</v>
      </c>
      <c r="B58" s="76" t="n">
        <v>113.4109</v>
      </c>
      <c r="C58" s="77" t="n">
        <v>5868.5498</v>
      </c>
      <c r="D58" s="45" t="n">
        <f aca="false">B58/B57-1</f>
        <v>0.0111942893520953</v>
      </c>
      <c r="E58" s="45" t="n">
        <f aca="false">C58/C57-1</f>
        <v>-0.00222389035393067</v>
      </c>
      <c r="F58" s="35"/>
      <c r="G58" s="35"/>
      <c r="H58" s="33"/>
      <c r="I58" s="33"/>
      <c r="J58" s="33"/>
      <c r="K58" s="33"/>
      <c r="L58" s="33"/>
    </row>
    <row r="59" customFormat="false" ht="15" hidden="false" customHeight="false" outlineLevel="0" collapsed="false">
      <c r="A59" s="36" t="s">
        <v>559</v>
      </c>
      <c r="B59" s="76" t="n">
        <v>116.7004</v>
      </c>
      <c r="C59" s="77" t="n">
        <v>5942.4702</v>
      </c>
      <c r="D59" s="45" t="n">
        <f aca="false">B59/B58-1</f>
        <v>0.0290051485351055</v>
      </c>
      <c r="E59" s="45" t="n">
        <f aca="false">C59/C58-1</f>
        <v>0.0125960250009296</v>
      </c>
      <c r="F59" s="35"/>
      <c r="G59" s="35"/>
      <c r="H59" s="33"/>
      <c r="I59" s="33"/>
      <c r="J59" s="33"/>
      <c r="K59" s="33"/>
      <c r="L59" s="33"/>
    </row>
    <row r="60" customFormat="false" ht="15" hidden="false" customHeight="false" outlineLevel="0" collapsed="false">
      <c r="A60" s="36" t="s">
        <v>560</v>
      </c>
      <c r="B60" s="76" t="n">
        <v>121.3232</v>
      </c>
      <c r="C60" s="77" t="n">
        <v>5975.3799</v>
      </c>
      <c r="D60" s="45" t="n">
        <f aca="false">B60/B59-1</f>
        <v>0.0396125463151797</v>
      </c>
      <c r="E60" s="45" t="n">
        <f aca="false">C60/C59-1</f>
        <v>0.00553805048950862</v>
      </c>
      <c r="F60" s="35"/>
      <c r="G60" s="35"/>
      <c r="H60" s="33"/>
      <c r="I60" s="33"/>
      <c r="J60" s="33"/>
      <c r="K60" s="33"/>
      <c r="L60" s="33"/>
    </row>
    <row r="61" customFormat="false" ht="15" hidden="false" customHeight="false" outlineLevel="0" collapsed="false">
      <c r="A61" s="36" t="s">
        <v>561</v>
      </c>
      <c r="B61" s="76" t="n">
        <v>118.024</v>
      </c>
      <c r="C61" s="77" t="n">
        <v>5909.0298</v>
      </c>
      <c r="D61" s="45" t="n">
        <f aca="false">B61/B60-1</f>
        <v>-0.0271934798950242</v>
      </c>
      <c r="E61" s="45" t="n">
        <f aca="false">C61/C60-1</f>
        <v>-0.0111039132424031</v>
      </c>
      <c r="F61" s="35"/>
      <c r="G61" s="35"/>
      <c r="H61" s="33"/>
      <c r="I61" s="33"/>
      <c r="J61" s="33"/>
      <c r="K61" s="33"/>
      <c r="L61" s="33"/>
    </row>
    <row r="62" customFormat="false" ht="15" hidden="false" customHeight="false" outlineLevel="0" collapsed="false">
      <c r="A62" s="36" t="s">
        <v>562</v>
      </c>
      <c r="B62" s="76" t="n">
        <v>116.1164</v>
      </c>
      <c r="C62" s="77" t="n">
        <v>5918.25</v>
      </c>
      <c r="D62" s="45" t="n">
        <f aca="false">B62/B61-1</f>
        <v>-0.0161628143428455</v>
      </c>
      <c r="E62" s="45" t="n">
        <f aca="false">C62/C61-1</f>
        <v>0.00156035767496032</v>
      </c>
      <c r="F62" s="35"/>
      <c r="G62" s="35"/>
      <c r="H62" s="33"/>
      <c r="I62" s="33"/>
      <c r="J62" s="33"/>
      <c r="K62" s="33"/>
      <c r="L62" s="33"/>
    </row>
    <row r="63" customFormat="false" ht="15" hidden="false" customHeight="false" outlineLevel="0" collapsed="false">
      <c r="A63" s="36" t="s">
        <v>563</v>
      </c>
      <c r="B63" s="76" t="n">
        <v>111.698</v>
      </c>
      <c r="C63" s="77" t="n">
        <v>5827.04</v>
      </c>
      <c r="D63" s="45" t="n">
        <f aca="false">B63/B62-1</f>
        <v>-0.0380514724879518</v>
      </c>
      <c r="E63" s="45" t="n">
        <f aca="false">C63/C62-1</f>
        <v>-0.0154116504034132</v>
      </c>
      <c r="F63" s="35"/>
      <c r="G63" s="35"/>
      <c r="H63" s="33"/>
      <c r="I63" s="33"/>
      <c r="J63" s="33"/>
      <c r="K63" s="33"/>
      <c r="L63" s="33"/>
    </row>
    <row r="64" customFormat="false" ht="15" hidden="false" customHeight="false" outlineLevel="0" collapsed="false">
      <c r="A64" s="36" t="s">
        <v>564</v>
      </c>
      <c r="B64" s="76" t="n">
        <v>107.2211</v>
      </c>
      <c r="C64" s="77" t="n">
        <v>5836.2202</v>
      </c>
      <c r="D64" s="45" t="n">
        <f aca="false">B64/B63-1</f>
        <v>-0.0400803953517519</v>
      </c>
      <c r="E64" s="45" t="n">
        <f aca="false">C64/C63-1</f>
        <v>0.00157544825503164</v>
      </c>
      <c r="F64" s="35"/>
      <c r="G64" s="35"/>
      <c r="H64" s="33"/>
      <c r="I64" s="33"/>
      <c r="J64" s="33"/>
      <c r="K64" s="33"/>
      <c r="L64" s="33"/>
    </row>
    <row r="65" customFormat="false" ht="15" hidden="false" customHeight="false" outlineLevel="0" collapsed="false">
      <c r="A65" s="36" t="s">
        <v>565</v>
      </c>
      <c r="B65" s="76" t="n">
        <v>106.1408</v>
      </c>
      <c r="C65" s="77" t="n">
        <v>5842.9102</v>
      </c>
      <c r="D65" s="45" t="n">
        <f aca="false">B65/B64-1</f>
        <v>-0.01007544224038</v>
      </c>
      <c r="E65" s="45" t="n">
        <f aca="false">C65/C64-1</f>
        <v>0.00114628985383392</v>
      </c>
      <c r="F65" s="35"/>
      <c r="G65" s="35"/>
      <c r="H65" s="33"/>
      <c r="I65" s="33"/>
      <c r="J65" s="33"/>
      <c r="K65" s="33"/>
      <c r="L65" s="33"/>
    </row>
    <row r="66" customFormat="false" ht="15" hidden="false" customHeight="false" outlineLevel="0" collapsed="false">
      <c r="A66" s="36" t="s">
        <v>566</v>
      </c>
      <c r="B66" s="76" t="n">
        <v>106.3063</v>
      </c>
      <c r="C66" s="77" t="n">
        <v>5949.9102</v>
      </c>
      <c r="D66" s="45" t="n">
        <f aca="false">B66/B65-1</f>
        <v>0.00155924960053055</v>
      </c>
      <c r="E66" s="45" t="n">
        <f aca="false">C66/C65-1</f>
        <v>0.0183127921425184</v>
      </c>
      <c r="F66" s="35"/>
      <c r="G66" s="35"/>
      <c r="H66" s="33"/>
      <c r="I66" s="33"/>
      <c r="J66" s="33"/>
      <c r="K66" s="33"/>
      <c r="L66" s="33"/>
    </row>
    <row r="67" customFormat="false" ht="15" hidden="false" customHeight="false" outlineLevel="0" collapsed="false">
      <c r="A67" s="36" t="s">
        <v>567</v>
      </c>
      <c r="B67" s="76" t="n">
        <v>107.1627</v>
      </c>
      <c r="C67" s="77" t="n">
        <v>5937.3398</v>
      </c>
      <c r="D67" s="45" t="n">
        <f aca="false">B67/B66-1</f>
        <v>0.0080559665795914</v>
      </c>
      <c r="E67" s="45" t="n">
        <f aca="false">C67/C66-1</f>
        <v>-0.00211270415476195</v>
      </c>
      <c r="F67" s="35"/>
      <c r="G67" s="35"/>
      <c r="H67" s="33"/>
      <c r="I67" s="33"/>
      <c r="J67" s="33"/>
      <c r="K67" s="33"/>
      <c r="L67" s="33"/>
    </row>
    <row r="68" customFormat="false" ht="15" hidden="false" customHeight="false" outlineLevel="0" collapsed="false">
      <c r="A68" s="36" t="s">
        <v>568</v>
      </c>
      <c r="B68" s="76" t="n">
        <v>106.7053</v>
      </c>
      <c r="C68" s="77" t="n">
        <v>5996.6602</v>
      </c>
      <c r="D68" s="45" t="n">
        <f aca="false">B68/B67-1</f>
        <v>-0.00426827618191783</v>
      </c>
      <c r="E68" s="45" t="n">
        <f aca="false">C68/C67-1</f>
        <v>0.00999107378021402</v>
      </c>
      <c r="F68" s="35"/>
      <c r="G68" s="35"/>
      <c r="H68" s="33"/>
      <c r="I68" s="33"/>
      <c r="J68" s="33"/>
      <c r="K68" s="33"/>
      <c r="L68" s="33"/>
    </row>
    <row r="69" customFormat="false" ht="15" hidden="false" customHeight="false" outlineLevel="0" collapsed="false">
      <c r="A69" s="36" t="s">
        <v>569</v>
      </c>
      <c r="B69" s="76" t="n">
        <v>108.5642</v>
      </c>
      <c r="C69" s="77" t="n">
        <v>6049.2402</v>
      </c>
      <c r="D69" s="45" t="n">
        <f aca="false">B69/B68-1</f>
        <v>0.0174208778757945</v>
      </c>
      <c r="E69" s="45" t="n">
        <f aca="false">C69/C68-1</f>
        <v>0.00876821401352701</v>
      </c>
      <c r="F69" s="35"/>
      <c r="G69" s="35"/>
      <c r="H69" s="33"/>
      <c r="I69" s="33"/>
      <c r="J69" s="33"/>
      <c r="K69" s="33"/>
      <c r="L69" s="33"/>
    </row>
    <row r="70" customFormat="false" ht="15" hidden="false" customHeight="false" outlineLevel="0" collapsed="false">
      <c r="A70" s="36" t="s">
        <v>570</v>
      </c>
      <c r="B70" s="76" t="n">
        <v>112.4873</v>
      </c>
      <c r="C70" s="77" t="n">
        <v>6086.3701</v>
      </c>
      <c r="D70" s="45" t="n">
        <f aca="false">B70/B69-1</f>
        <v>0.0361362217010766</v>
      </c>
      <c r="E70" s="45" t="n">
        <f aca="false">C70/C69-1</f>
        <v>0.00613794439837245</v>
      </c>
      <c r="F70" s="35"/>
      <c r="G70" s="35"/>
      <c r="H70" s="33"/>
      <c r="I70" s="33"/>
      <c r="J70" s="33"/>
      <c r="K70" s="33"/>
      <c r="L70" s="33"/>
    </row>
    <row r="71" customFormat="false" ht="15" hidden="false" customHeight="false" outlineLevel="0" collapsed="false">
      <c r="A71" s="36" t="s">
        <v>571</v>
      </c>
      <c r="B71" s="76" t="n">
        <v>111.6079</v>
      </c>
      <c r="C71" s="77" t="n">
        <v>6118.71</v>
      </c>
      <c r="D71" s="45" t="n">
        <f aca="false">B71/B70-1</f>
        <v>-0.00781777142841911</v>
      </c>
      <c r="E71" s="45" t="n">
        <f aca="false">C71/C70-1</f>
        <v>0.00531349547737814</v>
      </c>
      <c r="F71" s="35"/>
      <c r="G71" s="35"/>
      <c r="H71" s="33"/>
      <c r="I71" s="33"/>
      <c r="J71" s="33"/>
      <c r="K71" s="33"/>
      <c r="L71" s="33"/>
    </row>
    <row r="72" customFormat="false" ht="15" hidden="false" customHeight="false" outlineLevel="0" collapsed="false">
      <c r="A72" s="36" t="s">
        <v>572</v>
      </c>
      <c r="B72" s="76" t="n">
        <v>111.1291</v>
      </c>
      <c r="C72" s="77" t="n">
        <v>6101.2402</v>
      </c>
      <c r="D72" s="45" t="n">
        <f aca="false">B72/B71-1</f>
        <v>-0.00429001889651182</v>
      </c>
      <c r="E72" s="45" t="n">
        <f aca="false">C72/C71-1</f>
        <v>-0.0028551443032927</v>
      </c>
      <c r="F72" s="35"/>
      <c r="G72" s="35"/>
      <c r="H72" s="33"/>
      <c r="I72" s="33"/>
      <c r="J72" s="33"/>
      <c r="K72" s="33"/>
      <c r="L72" s="33"/>
    </row>
    <row r="73" customFormat="false" ht="15" hidden="false" customHeight="false" outlineLevel="0" collapsed="false">
      <c r="A73" s="36" t="s">
        <v>573</v>
      </c>
      <c r="B73" s="76" t="n">
        <v>101.4653</v>
      </c>
      <c r="C73" s="77" t="n">
        <v>6012.2798</v>
      </c>
      <c r="D73" s="45" t="n">
        <f aca="false">B73/B72-1</f>
        <v>-0.0869601211563847</v>
      </c>
      <c r="E73" s="45" t="n">
        <f aca="false">C73/C72-1</f>
        <v>-0.0145807077059513</v>
      </c>
      <c r="F73" s="35"/>
      <c r="G73" s="35"/>
      <c r="H73" s="33"/>
      <c r="I73" s="33"/>
      <c r="J73" s="33"/>
      <c r="K73" s="33"/>
      <c r="L73" s="33"/>
    </row>
    <row r="74" customFormat="false" ht="15" hidden="false" customHeight="false" outlineLevel="0" collapsed="false">
      <c r="A74" s="36" t="s">
        <v>574</v>
      </c>
      <c r="B74" s="76" t="n">
        <v>98.9736</v>
      </c>
      <c r="C74" s="77" t="n">
        <v>6067.7002</v>
      </c>
      <c r="D74" s="45" t="n">
        <f aca="false">B74/B73-1</f>
        <v>-0.0245571638777</v>
      </c>
      <c r="E74" s="45" t="n">
        <f aca="false">C74/C73-1</f>
        <v>0.00921786773795863</v>
      </c>
      <c r="F74" s="35"/>
      <c r="G74" s="35"/>
      <c r="H74" s="33"/>
      <c r="I74" s="33"/>
      <c r="J74" s="33"/>
      <c r="K74" s="33"/>
      <c r="L74" s="33"/>
    </row>
    <row r="75" customFormat="false" ht="15" hidden="false" customHeight="false" outlineLevel="0" collapsed="false">
      <c r="A75" s="36" t="s">
        <v>575</v>
      </c>
      <c r="B75" s="76" t="n">
        <v>100.7422</v>
      </c>
      <c r="C75" s="77" t="n">
        <v>6039.3101</v>
      </c>
      <c r="D75" s="45" t="n">
        <f aca="false">B75/B74-1</f>
        <v>0.017869411641084</v>
      </c>
      <c r="E75" s="45" t="n">
        <f aca="false">C75/C74-1</f>
        <v>-0.00467888970519681</v>
      </c>
      <c r="F75" s="35"/>
      <c r="G75" s="35"/>
      <c r="H75" s="33"/>
      <c r="I75" s="33"/>
      <c r="J75" s="33"/>
      <c r="K75" s="33"/>
      <c r="L75" s="33"/>
    </row>
    <row r="76" customFormat="false" ht="15" hidden="false" customHeight="false" outlineLevel="0" collapsed="false">
      <c r="A76" s="36" t="s">
        <v>576</v>
      </c>
      <c r="B76" s="76" t="n">
        <v>102.9408</v>
      </c>
      <c r="C76" s="77" t="n">
        <v>6071.1699</v>
      </c>
      <c r="D76" s="45" t="n">
        <f aca="false">B76/B75-1</f>
        <v>0.0218240221079151</v>
      </c>
      <c r="E76" s="45" t="n">
        <f aca="false">C76/C75-1</f>
        <v>0.00527540389091796</v>
      </c>
      <c r="F76" s="35"/>
      <c r="G76" s="35"/>
      <c r="H76" s="33"/>
      <c r="I76" s="33"/>
      <c r="J76" s="33"/>
      <c r="K76" s="33"/>
      <c r="L76" s="33"/>
    </row>
    <row r="77" customFormat="false" ht="15" hidden="false" customHeight="false" outlineLevel="0" collapsed="false">
      <c r="A77" s="36" t="s">
        <v>577</v>
      </c>
      <c r="B77" s="76" t="n">
        <v>101.2308</v>
      </c>
      <c r="C77" s="77" t="n">
        <v>6040.5298</v>
      </c>
      <c r="D77" s="45" t="n">
        <f aca="false">B77/B76-1</f>
        <v>-0.0166114893220181</v>
      </c>
      <c r="E77" s="45" t="n">
        <f aca="false">C77/C76-1</f>
        <v>-0.00504681972415233</v>
      </c>
      <c r="F77" s="35"/>
      <c r="G77" s="35"/>
      <c r="H77" s="33"/>
      <c r="I77" s="33"/>
      <c r="J77" s="33"/>
      <c r="K77" s="33"/>
      <c r="L77" s="33"/>
    </row>
    <row r="78" customFormat="false" ht="15" hidden="false" customHeight="false" outlineLevel="0" collapsed="false">
      <c r="A78" s="36" t="s">
        <v>578</v>
      </c>
      <c r="B78" s="76" t="n">
        <v>97.8011</v>
      </c>
      <c r="C78" s="77" t="n">
        <v>5994.5698</v>
      </c>
      <c r="D78" s="45" t="n">
        <f aca="false">B78/B77-1</f>
        <v>-0.0338800048996946</v>
      </c>
      <c r="E78" s="45" t="n">
        <f aca="false">C78/C77-1</f>
        <v>-0.0076086041327037</v>
      </c>
      <c r="F78" s="35"/>
      <c r="G78" s="35"/>
      <c r="H78" s="33"/>
      <c r="I78" s="33"/>
      <c r="J78" s="33"/>
      <c r="K78" s="33"/>
      <c r="L78" s="33"/>
    </row>
    <row r="79" customFormat="false" ht="15" hidden="false" customHeight="false" outlineLevel="0" collapsed="false">
      <c r="A79" s="36" t="s">
        <v>579</v>
      </c>
      <c r="B79" s="76" t="n">
        <v>99.3449</v>
      </c>
      <c r="C79" s="77" t="n">
        <v>6037.8799</v>
      </c>
      <c r="D79" s="45" t="n">
        <f aca="false">B79/B78-1</f>
        <v>0.0157850985316115</v>
      </c>
      <c r="E79" s="45" t="n">
        <f aca="false">C79/C78-1</f>
        <v>0.00722488876516203</v>
      </c>
      <c r="F79" s="35"/>
      <c r="G79" s="35"/>
      <c r="H79" s="33"/>
      <c r="I79" s="33"/>
      <c r="J79" s="33"/>
      <c r="K79" s="33"/>
      <c r="L79" s="33"/>
    </row>
    <row r="80" customFormat="false" ht="15" hidden="false" customHeight="false" outlineLevel="0" collapsed="false">
      <c r="A80" s="36" t="s">
        <v>580</v>
      </c>
      <c r="B80" s="76" t="n">
        <v>102.0613</v>
      </c>
      <c r="C80" s="77" t="n">
        <v>6061.48</v>
      </c>
      <c r="D80" s="45" t="n">
        <f aca="false">B80/B79-1</f>
        <v>0.0273431248106346</v>
      </c>
      <c r="E80" s="45" t="n">
        <f aca="false">C80/C79-1</f>
        <v>0.00390867330766209</v>
      </c>
      <c r="F80" s="35"/>
      <c r="G80" s="35"/>
      <c r="H80" s="33"/>
      <c r="I80" s="33"/>
      <c r="J80" s="33"/>
      <c r="K80" s="33"/>
      <c r="L80" s="33"/>
    </row>
    <row r="81" customFormat="false" ht="15" hidden="false" customHeight="false" outlineLevel="0" collapsed="false">
      <c r="A81" s="36" t="s">
        <v>581</v>
      </c>
      <c r="B81" s="76" t="n">
        <v>103.4977</v>
      </c>
      <c r="C81" s="77" t="n">
        <v>6083.5698</v>
      </c>
      <c r="D81" s="45" t="n">
        <f aca="false">B81/B80-1</f>
        <v>0.0140738948063566</v>
      </c>
      <c r="E81" s="45" t="n">
        <f aca="false">C81/C80-1</f>
        <v>0.0036442914931667</v>
      </c>
      <c r="F81" s="35"/>
      <c r="G81" s="35"/>
      <c r="H81" s="33"/>
      <c r="I81" s="33"/>
      <c r="J81" s="33"/>
      <c r="K81" s="33"/>
      <c r="L81" s="33"/>
    </row>
    <row r="82" customFormat="false" ht="15" hidden="false" customHeight="false" outlineLevel="0" collapsed="false">
      <c r="A82" s="36" t="s">
        <v>582</v>
      </c>
      <c r="B82" s="76" t="n">
        <v>103.9374</v>
      </c>
      <c r="C82" s="77" t="n">
        <v>6025.9902</v>
      </c>
      <c r="D82" s="45" t="n">
        <f aca="false">B82/B81-1</f>
        <v>0.00424840358771261</v>
      </c>
      <c r="E82" s="45" t="n">
        <f aca="false">C82/C81-1</f>
        <v>-0.00946477181867789</v>
      </c>
      <c r="F82" s="35"/>
      <c r="G82" s="35"/>
      <c r="H82" s="33"/>
      <c r="I82" s="33"/>
      <c r="J82" s="33"/>
      <c r="K82" s="33"/>
      <c r="L82" s="33"/>
    </row>
    <row r="83" customFormat="false" ht="15" hidden="false" customHeight="false" outlineLevel="0" collapsed="false">
      <c r="A83" s="36" t="s">
        <v>583</v>
      </c>
      <c r="B83" s="76" t="n">
        <v>109.7416</v>
      </c>
      <c r="C83" s="77" t="n">
        <v>6066.4399</v>
      </c>
      <c r="D83" s="45" t="n">
        <f aca="false">B83/B82-1</f>
        <v>0.0558432287126676</v>
      </c>
      <c r="E83" s="45" t="n">
        <f aca="false">C83/C82-1</f>
        <v>0.00671253995733356</v>
      </c>
      <c r="F83" s="35"/>
      <c r="G83" s="35"/>
      <c r="H83" s="33"/>
      <c r="I83" s="33"/>
      <c r="J83" s="33"/>
      <c r="K83" s="33"/>
      <c r="L83" s="33"/>
    </row>
    <row r="84" customFormat="false" ht="15" hidden="false" customHeight="false" outlineLevel="0" collapsed="false">
      <c r="A84" s="36" t="s">
        <v>584</v>
      </c>
      <c r="B84" s="76" t="n">
        <v>108.8915</v>
      </c>
      <c r="C84" s="77" t="n">
        <v>6068.5</v>
      </c>
      <c r="D84" s="45" t="n">
        <f aca="false">B84/B83-1</f>
        <v>-0.00774637876611983</v>
      </c>
      <c r="E84" s="45" t="n">
        <f aca="false">C84/C83-1</f>
        <v>0.00033958961663827</v>
      </c>
      <c r="F84" s="35"/>
      <c r="G84" s="35"/>
      <c r="H84" s="33"/>
      <c r="I84" s="33"/>
      <c r="J84" s="33"/>
      <c r="K84" s="33"/>
      <c r="L84" s="33"/>
    </row>
    <row r="85" customFormat="false" ht="15" hidden="false" customHeight="false" outlineLevel="0" collapsed="false">
      <c r="A85" s="36" t="s">
        <v>585</v>
      </c>
      <c r="B85" s="76" t="n">
        <v>110.3376</v>
      </c>
      <c r="C85" s="77" t="n">
        <v>6051.9702</v>
      </c>
      <c r="D85" s="45" t="n">
        <f aca="false">B85/B84-1</f>
        <v>0.0132801917505039</v>
      </c>
      <c r="E85" s="45" t="n">
        <f aca="false">C85/C84-1</f>
        <v>-0.00272386916041856</v>
      </c>
      <c r="F85" s="35"/>
      <c r="G85" s="35"/>
      <c r="H85" s="33"/>
      <c r="I85" s="33"/>
      <c r="J85" s="33"/>
      <c r="K85" s="33"/>
      <c r="L85" s="33"/>
    </row>
    <row r="86" customFormat="false" ht="15" hidden="false" customHeight="false" outlineLevel="0" collapsed="false">
      <c r="A86" s="36" t="s">
        <v>586</v>
      </c>
      <c r="B86" s="76" t="n">
        <v>107.7385</v>
      </c>
      <c r="C86" s="77" t="n">
        <v>6115.0698</v>
      </c>
      <c r="D86" s="45" t="n">
        <f aca="false">B86/B85-1</f>
        <v>-0.0235558866605762</v>
      </c>
      <c r="E86" s="45" t="n">
        <f aca="false">C86/C85-1</f>
        <v>0.0104262905987211</v>
      </c>
      <c r="F86" s="35"/>
      <c r="G86" s="35"/>
      <c r="H86" s="33"/>
      <c r="I86" s="33"/>
      <c r="J86" s="33"/>
      <c r="K86" s="33"/>
      <c r="L86" s="33"/>
    </row>
    <row r="87" customFormat="false" ht="15" hidden="false" customHeight="false" outlineLevel="0" collapsed="false">
      <c r="A87" s="36" t="s">
        <v>587</v>
      </c>
      <c r="B87" s="76" t="n">
        <v>111.7643</v>
      </c>
      <c r="C87" s="77" t="n">
        <v>6114.6299</v>
      </c>
      <c r="D87" s="45" t="n">
        <f aca="false">B87/B86-1</f>
        <v>0.0373664010544048</v>
      </c>
      <c r="E87" s="45" t="n">
        <f aca="false">C87/C86-1</f>
        <v>-7.19370365976912E-005</v>
      </c>
      <c r="F87" s="35"/>
      <c r="G87" s="35"/>
      <c r="H87" s="33"/>
      <c r="I87" s="33"/>
      <c r="J87" s="33"/>
      <c r="K87" s="33"/>
      <c r="L87" s="33"/>
    </row>
    <row r="88" customFormat="false" ht="15" hidden="false" customHeight="false" outlineLevel="0" collapsed="false">
      <c r="A88" s="36" t="s">
        <v>588</v>
      </c>
      <c r="B88" s="76" t="n">
        <v>117.588</v>
      </c>
      <c r="C88" s="77" t="n">
        <v>6129.5801</v>
      </c>
      <c r="D88" s="45" t="n">
        <f aca="false">B88/B87-1</f>
        <v>0.0521069787042909</v>
      </c>
      <c r="E88" s="45" t="n">
        <f aca="false">C88/C87-1</f>
        <v>0.00244498853479258</v>
      </c>
      <c r="F88" s="35"/>
      <c r="G88" s="35"/>
      <c r="H88" s="33"/>
      <c r="I88" s="33"/>
      <c r="J88" s="33"/>
      <c r="K88" s="33"/>
      <c r="L88" s="33"/>
    </row>
    <row r="89" customFormat="false" ht="15" hidden="false" customHeight="false" outlineLevel="0" collapsed="false">
      <c r="A89" s="36" t="s">
        <v>589</v>
      </c>
      <c r="B89" s="76" t="n">
        <v>118.1938</v>
      </c>
      <c r="C89" s="77" t="n">
        <v>6144.1499</v>
      </c>
      <c r="D89" s="45" t="n">
        <f aca="false">B89/B88-1</f>
        <v>0.005151886246896</v>
      </c>
      <c r="E89" s="45" t="n">
        <f aca="false">C89/C88-1</f>
        <v>0.00237696543030741</v>
      </c>
      <c r="F89" s="35"/>
      <c r="G89" s="35"/>
      <c r="H89" s="33"/>
      <c r="I89" s="33"/>
      <c r="J89" s="33"/>
      <c r="K89" s="33"/>
      <c r="L89" s="33"/>
    </row>
    <row r="90" customFormat="false" ht="15" hidden="false" customHeight="false" outlineLevel="0" collapsed="false">
      <c r="A90" s="36" t="s">
        <v>590</v>
      </c>
      <c r="B90" s="76" t="n">
        <v>117.1483</v>
      </c>
      <c r="C90" s="77" t="n">
        <v>6117.52</v>
      </c>
      <c r="D90" s="45" t="n">
        <f aca="false">B90/B89-1</f>
        <v>-0.00884564164956192</v>
      </c>
      <c r="E90" s="45" t="n">
        <f aca="false">C90/C89-1</f>
        <v>-0.00433418787520146</v>
      </c>
      <c r="F90" s="35"/>
      <c r="G90" s="35"/>
      <c r="H90" s="33"/>
      <c r="I90" s="33"/>
      <c r="J90" s="33"/>
      <c r="K90" s="33"/>
      <c r="L90" s="33"/>
    </row>
    <row r="91" customFormat="false" ht="15" hidden="false" customHeight="false" outlineLevel="0" collapsed="false">
      <c r="A91" s="36" t="s">
        <v>591</v>
      </c>
      <c r="B91" s="76" t="n">
        <v>114.9106</v>
      </c>
      <c r="C91" s="77" t="n">
        <v>6013.1299</v>
      </c>
      <c r="D91" s="45" t="n">
        <f aca="false">B91/B90-1</f>
        <v>-0.0191014295555292</v>
      </c>
      <c r="E91" s="45" t="n">
        <f aca="false">C91/C90-1</f>
        <v>-0.0170641207548158</v>
      </c>
      <c r="F91" s="35"/>
      <c r="G91" s="35"/>
      <c r="H91" s="33"/>
      <c r="I91" s="33"/>
      <c r="J91" s="33"/>
      <c r="K91" s="33"/>
      <c r="L91" s="33"/>
    </row>
    <row r="92" customFormat="false" ht="15" hidden="false" customHeight="false" outlineLevel="0" collapsed="false">
      <c r="A92" s="36" t="s">
        <v>592</v>
      </c>
      <c r="B92" s="76" t="n">
        <v>111.5298</v>
      </c>
      <c r="C92" s="77" t="n">
        <v>5983.25</v>
      </c>
      <c r="D92" s="45" t="n">
        <f aca="false">B92/B91-1</f>
        <v>-0.0294211326022144</v>
      </c>
      <c r="E92" s="45" t="n">
        <f aca="false">C92/C91-1</f>
        <v>-0.00496910934852746</v>
      </c>
      <c r="F92" s="35"/>
      <c r="G92" s="35"/>
      <c r="H92" s="33"/>
      <c r="I92" s="33"/>
      <c r="J92" s="33"/>
      <c r="K92" s="33"/>
      <c r="L92" s="33"/>
    </row>
    <row r="93" customFormat="false" ht="15" hidden="false" customHeight="false" outlineLevel="0" collapsed="false">
      <c r="A93" s="36" t="s">
        <v>593</v>
      </c>
      <c r="B93" s="76" t="n">
        <v>108.1196</v>
      </c>
      <c r="C93" s="77" t="n">
        <v>5955.25</v>
      </c>
      <c r="D93" s="45" t="n">
        <f aca="false">B93/B92-1</f>
        <v>-0.0305765813262463</v>
      </c>
      <c r="E93" s="45" t="n">
        <f aca="false">C93/C92-1</f>
        <v>-0.00467973091547236</v>
      </c>
      <c r="F93" s="35"/>
      <c r="G93" s="35"/>
      <c r="H93" s="33"/>
      <c r="I93" s="33"/>
      <c r="J93" s="33"/>
      <c r="K93" s="33"/>
      <c r="L93" s="33"/>
    </row>
    <row r="94" customFormat="false" ht="15" hidden="false" customHeight="false" outlineLevel="0" collapsed="false">
      <c r="A94" s="36" t="s">
        <v>594</v>
      </c>
      <c r="B94" s="76" t="n">
        <v>113.0052</v>
      </c>
      <c r="C94" s="77" t="n">
        <v>5956.0601</v>
      </c>
      <c r="D94" s="45" t="n">
        <f aca="false">B94/B93-1</f>
        <v>0.0451869966222591</v>
      </c>
      <c r="E94" s="45" t="n">
        <f aca="false">C94/C93-1</f>
        <v>0.000136031232945699</v>
      </c>
      <c r="F94" s="35"/>
      <c r="G94" s="35"/>
      <c r="H94" s="33"/>
      <c r="I94" s="33"/>
      <c r="J94" s="33"/>
      <c r="K94" s="33"/>
      <c r="L94" s="33"/>
    </row>
    <row r="95" customFormat="false" ht="15" hidden="false" customHeight="false" outlineLevel="0" collapsed="false">
      <c r="A95" s="36" t="s">
        <v>595</v>
      </c>
      <c r="B95" s="76" t="n">
        <v>105.3641</v>
      </c>
      <c r="C95" s="77" t="n">
        <v>5861.5698</v>
      </c>
      <c r="D95" s="45" t="n">
        <f aca="false">B95/B94-1</f>
        <v>-0.0676172423923855</v>
      </c>
      <c r="E95" s="45" t="n">
        <f aca="false">C95/C94-1</f>
        <v>-0.0158645645634099</v>
      </c>
      <c r="F95" s="35"/>
      <c r="G95" s="35"/>
      <c r="H95" s="33"/>
      <c r="I95" s="33"/>
      <c r="J95" s="33"/>
      <c r="K95" s="33"/>
      <c r="L95" s="33"/>
    </row>
    <row r="96" customFormat="false" ht="15" hidden="false" customHeight="false" outlineLevel="0" collapsed="false">
      <c r="A96" s="36" t="s">
        <v>596</v>
      </c>
      <c r="B96" s="76" t="n">
        <v>100.41</v>
      </c>
      <c r="C96" s="77" t="n">
        <v>5954.5</v>
      </c>
      <c r="D96" s="45" t="n">
        <f aca="false">B96/B95-1</f>
        <v>-0.0470188612629918</v>
      </c>
      <c r="E96" s="45" t="n">
        <f aca="false">C96/C95-1</f>
        <v>0.0158541488322803</v>
      </c>
      <c r="F96" s="35"/>
      <c r="G96" s="35"/>
      <c r="H96" s="33"/>
      <c r="I96" s="33"/>
      <c r="J96" s="33"/>
      <c r="K96" s="33"/>
      <c r="L96" s="33"/>
    </row>
    <row r="97" customFormat="false" ht="15" hidden="false" customHeight="false" outlineLevel="0" collapsed="false">
      <c r="A97" s="36" t="s">
        <v>597</v>
      </c>
      <c r="B97" s="76" t="n">
        <v>93.3746</v>
      </c>
      <c r="C97" s="77" t="n">
        <v>5849.7202</v>
      </c>
      <c r="D97" s="45" t="n">
        <f aca="false">B97/B96-1</f>
        <v>-0.0700667264216711</v>
      </c>
      <c r="E97" s="45" t="n">
        <f aca="false">C97/C96-1</f>
        <v>-0.0175967419598624</v>
      </c>
      <c r="F97" s="35"/>
      <c r="G97" s="35"/>
      <c r="H97" s="33"/>
      <c r="I97" s="33"/>
      <c r="J97" s="33"/>
      <c r="K97" s="33"/>
      <c r="L97" s="33"/>
    </row>
    <row r="98" customFormat="false" ht="15" hidden="false" customHeight="false" outlineLevel="0" collapsed="false">
      <c r="A98" s="36" t="s">
        <v>598</v>
      </c>
      <c r="B98" s="76" t="n">
        <v>91.9187</v>
      </c>
      <c r="C98" s="77" t="n">
        <v>5778.1499</v>
      </c>
      <c r="D98" s="45" t="n">
        <f aca="false">B98/B97-1</f>
        <v>-0.0155920346646733</v>
      </c>
      <c r="E98" s="45" t="n">
        <f aca="false">C98/C97-1</f>
        <v>-0.012234824496392</v>
      </c>
      <c r="F98" s="35"/>
      <c r="G98" s="35"/>
      <c r="H98" s="33"/>
      <c r="I98" s="33"/>
      <c r="J98" s="33"/>
      <c r="K98" s="33"/>
      <c r="L98" s="33"/>
    </row>
    <row r="99" customFormat="false" ht="15" hidden="false" customHeight="false" outlineLevel="0" collapsed="false">
      <c r="A99" s="36" t="s">
        <v>599</v>
      </c>
      <c r="B99" s="76" t="n">
        <v>95.026</v>
      </c>
      <c r="C99" s="77" t="n">
        <v>5842.6299</v>
      </c>
      <c r="D99" s="45" t="n">
        <f aca="false">B99/B98-1</f>
        <v>0.0338048732194862</v>
      </c>
      <c r="E99" s="45" t="n">
        <f aca="false">C99/C98-1</f>
        <v>0.0111592812779051</v>
      </c>
      <c r="F99" s="35"/>
      <c r="G99" s="35"/>
      <c r="H99" s="33"/>
      <c r="I99" s="33"/>
      <c r="J99" s="33"/>
      <c r="K99" s="33"/>
      <c r="L99" s="33"/>
    </row>
    <row r="100" customFormat="false" ht="15" hidden="false" customHeight="false" outlineLevel="0" collapsed="false">
      <c r="A100" s="36" t="s">
        <v>600</v>
      </c>
      <c r="B100" s="76" t="n">
        <v>90.8927</v>
      </c>
      <c r="C100" s="77" t="n">
        <v>5738.52</v>
      </c>
      <c r="D100" s="45" t="n">
        <f aca="false">B100/B99-1</f>
        <v>-0.0434965167427861</v>
      </c>
      <c r="E100" s="45" t="n">
        <f aca="false">C100/C99-1</f>
        <v>-0.017819013317958</v>
      </c>
      <c r="F100" s="35"/>
      <c r="G100" s="35"/>
      <c r="H100" s="33"/>
      <c r="I100" s="33"/>
      <c r="J100" s="33"/>
      <c r="K100" s="33"/>
      <c r="L100" s="33"/>
    </row>
    <row r="101" customFormat="false" ht="15" hidden="false" customHeight="false" outlineLevel="0" collapsed="false">
      <c r="A101" s="36" t="s">
        <v>601</v>
      </c>
      <c r="B101" s="76" t="n">
        <v>89.3684</v>
      </c>
      <c r="C101" s="77" t="n">
        <v>5770.2002</v>
      </c>
      <c r="D101" s="45" t="n">
        <f aca="false">B101/B100-1</f>
        <v>-0.0167703236893613</v>
      </c>
      <c r="E101" s="45" t="n">
        <f aca="false">C101/C100-1</f>
        <v>0.00552062204192017</v>
      </c>
      <c r="F101" s="35"/>
      <c r="G101" s="35"/>
      <c r="H101" s="33"/>
      <c r="I101" s="33"/>
      <c r="J101" s="33"/>
      <c r="K101" s="33"/>
      <c r="L101" s="33"/>
    </row>
    <row r="102" customFormat="false" ht="15" hidden="false" customHeight="false" outlineLevel="0" collapsed="false">
      <c r="A102" s="36" t="s">
        <v>602</v>
      </c>
      <c r="B102" s="76" t="n">
        <v>88.274</v>
      </c>
      <c r="C102" s="77" t="n">
        <v>5614.5601</v>
      </c>
      <c r="D102" s="45" t="n">
        <f aca="false">B102/B101-1</f>
        <v>-0.012245939280551</v>
      </c>
      <c r="E102" s="45" t="n">
        <f aca="false">C102/C101-1</f>
        <v>-0.0269730849199999</v>
      </c>
      <c r="F102" s="35"/>
      <c r="G102" s="35"/>
      <c r="H102" s="33"/>
      <c r="I102" s="33"/>
      <c r="J102" s="33"/>
      <c r="K102" s="33"/>
      <c r="L102" s="33"/>
    </row>
    <row r="103" customFormat="false" ht="15" hidden="false" customHeight="false" outlineLevel="0" collapsed="false">
      <c r="A103" s="36" t="s">
        <v>603</v>
      </c>
      <c r="B103" s="76" t="n">
        <v>89.4759</v>
      </c>
      <c r="C103" s="77" t="n">
        <v>5572.0698</v>
      </c>
      <c r="D103" s="45" t="n">
        <f aca="false">B103/B102-1</f>
        <v>0.0136155606407322</v>
      </c>
      <c r="E103" s="45" t="n">
        <f aca="false">C103/C102-1</f>
        <v>-0.00756787695620165</v>
      </c>
      <c r="F103" s="35"/>
      <c r="G103" s="35"/>
      <c r="H103" s="33"/>
      <c r="I103" s="33"/>
      <c r="J103" s="33"/>
      <c r="K103" s="33"/>
      <c r="L103" s="33"/>
    </row>
    <row r="104" customFormat="false" ht="15" hidden="false" customHeight="false" outlineLevel="0" collapsed="false">
      <c r="A104" s="36" t="s">
        <v>604</v>
      </c>
      <c r="B104" s="76" t="n">
        <v>92.4171</v>
      </c>
      <c r="C104" s="77" t="n">
        <v>5599.2998</v>
      </c>
      <c r="D104" s="45" t="n">
        <f aca="false">B104/B103-1</f>
        <v>0.0328714212430388</v>
      </c>
      <c r="E104" s="45" t="n">
        <f aca="false">C104/C103-1</f>
        <v>0.00488687345589245</v>
      </c>
      <c r="F104" s="35"/>
      <c r="G104" s="35"/>
      <c r="H104" s="33"/>
      <c r="I104" s="33"/>
      <c r="J104" s="33"/>
      <c r="K104" s="33"/>
      <c r="L104" s="33"/>
    </row>
    <row r="105" customFormat="false" ht="15" hidden="false" customHeight="false" outlineLevel="0" collapsed="false">
      <c r="A105" s="36" t="s">
        <v>605</v>
      </c>
      <c r="B105" s="76" t="n">
        <v>90.3358</v>
      </c>
      <c r="C105" s="77" t="n">
        <v>5521.52</v>
      </c>
      <c r="D105" s="45" t="n">
        <f aca="false">B105/B104-1</f>
        <v>-0.0225207239785711</v>
      </c>
      <c r="E105" s="45" t="n">
        <f aca="false">C105/C104-1</f>
        <v>-0.0138909868694652</v>
      </c>
      <c r="F105" s="35"/>
      <c r="G105" s="35"/>
      <c r="H105" s="33"/>
      <c r="I105" s="33"/>
      <c r="J105" s="33"/>
      <c r="K105" s="33"/>
      <c r="L105" s="33"/>
    </row>
    <row r="106" customFormat="false" ht="15" hidden="false" customHeight="false" outlineLevel="0" collapsed="false">
      <c r="A106" s="36" t="s">
        <v>606</v>
      </c>
      <c r="B106" s="76" t="n">
        <v>93.4821</v>
      </c>
      <c r="C106" s="77" t="n">
        <v>5638.9399</v>
      </c>
      <c r="D106" s="45" t="n">
        <f aca="false">B106/B105-1</f>
        <v>0.0348289382503946</v>
      </c>
      <c r="E106" s="45" t="n">
        <f aca="false">C106/C105-1</f>
        <v>0.0212658651965401</v>
      </c>
      <c r="F106" s="35"/>
      <c r="G106" s="35"/>
      <c r="H106" s="33"/>
      <c r="I106" s="33"/>
      <c r="J106" s="33"/>
      <c r="K106" s="33"/>
      <c r="L106" s="33"/>
    </row>
    <row r="107" customFormat="false" ht="15" hidden="false" customHeight="false" outlineLevel="0" collapsed="false">
      <c r="A107" s="36" t="s">
        <v>607</v>
      </c>
      <c r="B107" s="76" t="n">
        <v>95.4266</v>
      </c>
      <c r="C107" s="77" t="n">
        <v>5675.1201</v>
      </c>
      <c r="D107" s="45" t="n">
        <f aca="false">B107/B106-1</f>
        <v>0.0208007736240412</v>
      </c>
      <c r="E107" s="45" t="n">
        <f aca="false">C107/C106-1</f>
        <v>0.00641613506113092</v>
      </c>
      <c r="F107" s="35"/>
      <c r="G107" s="35"/>
      <c r="H107" s="33"/>
      <c r="I107" s="33"/>
      <c r="J107" s="33"/>
      <c r="K107" s="33"/>
      <c r="L107" s="33"/>
    </row>
    <row r="108" customFormat="false" ht="15" hidden="false" customHeight="false" outlineLevel="0" collapsed="false">
      <c r="A108" s="36" t="s">
        <v>608</v>
      </c>
      <c r="B108" s="76" t="n">
        <v>94.2345</v>
      </c>
      <c r="C108" s="77" t="n">
        <v>5614.6602</v>
      </c>
      <c r="D108" s="45" t="n">
        <f aca="false">B108/B107-1</f>
        <v>-0.0124923239432192</v>
      </c>
      <c r="E108" s="45" t="n">
        <f aca="false">C108/C107-1</f>
        <v>-0.0106535014122432</v>
      </c>
      <c r="F108" s="35"/>
      <c r="G108" s="35"/>
      <c r="H108" s="33"/>
      <c r="I108" s="33"/>
      <c r="J108" s="33"/>
      <c r="K108" s="33"/>
      <c r="L108" s="33"/>
    </row>
    <row r="109" customFormat="false" ht="15" hidden="false" customHeight="false" outlineLevel="0" collapsed="false">
      <c r="A109" s="36" t="s">
        <v>609</v>
      </c>
      <c r="B109" s="76" t="n">
        <v>96.4624</v>
      </c>
      <c r="C109" s="77" t="n">
        <v>5675.29</v>
      </c>
      <c r="D109" s="45" t="n">
        <f aca="false">B109/B108-1</f>
        <v>0.0236420843746188</v>
      </c>
      <c r="E109" s="45" t="n">
        <f aca="false">C109/C108-1</f>
        <v>0.0107984807344172</v>
      </c>
      <c r="F109" s="35"/>
      <c r="G109" s="35"/>
      <c r="H109" s="33"/>
      <c r="I109" s="33"/>
      <c r="J109" s="33"/>
      <c r="K109" s="33"/>
      <c r="L109" s="33"/>
    </row>
    <row r="110" customFormat="false" ht="15" hidden="false" customHeight="false" outlineLevel="0" collapsed="false">
      <c r="A110" s="36" t="s">
        <v>610</v>
      </c>
      <c r="B110" s="76" t="n">
        <v>96.6578</v>
      </c>
      <c r="C110" s="77" t="n">
        <v>5662.8901</v>
      </c>
      <c r="D110" s="45" t="n">
        <f aca="false">B110/B109-1</f>
        <v>0.0020256597389241</v>
      </c>
      <c r="E110" s="45" t="n">
        <f aca="false">C110/C109-1</f>
        <v>-0.00218489275437916</v>
      </c>
      <c r="F110" s="35"/>
      <c r="G110" s="35"/>
      <c r="H110" s="33"/>
      <c r="I110" s="33"/>
      <c r="J110" s="33"/>
      <c r="K110" s="33"/>
      <c r="L110" s="33"/>
    </row>
    <row r="111" customFormat="false" ht="15" hidden="false" customHeight="false" outlineLevel="0" collapsed="false">
      <c r="A111" s="36" t="s">
        <v>611</v>
      </c>
      <c r="B111" s="76" t="n">
        <v>95.3387</v>
      </c>
      <c r="C111" s="77" t="n">
        <v>5667.5601</v>
      </c>
      <c r="D111" s="45" t="n">
        <f aca="false">B111/B110-1</f>
        <v>-0.0136471138387175</v>
      </c>
      <c r="E111" s="45" t="n">
        <f aca="false">C111/C110-1</f>
        <v>0.000824667248972455</v>
      </c>
      <c r="F111" s="35"/>
      <c r="G111" s="35"/>
      <c r="H111" s="33"/>
      <c r="I111" s="33"/>
      <c r="J111" s="33"/>
      <c r="K111" s="33"/>
      <c r="L111" s="33"/>
    </row>
    <row r="112" customFormat="false" ht="15" hidden="false" customHeight="false" outlineLevel="0" collapsed="false">
      <c r="A112" s="36" t="s">
        <v>612</v>
      </c>
      <c r="B112" s="76" t="n">
        <v>97.5275</v>
      </c>
      <c r="C112" s="77" t="n">
        <v>5767.5698</v>
      </c>
      <c r="D112" s="45" t="n">
        <f aca="false">B112/B111-1</f>
        <v>0.022958148160191</v>
      </c>
      <c r="E112" s="45" t="n">
        <f aca="false">C112/C111-1</f>
        <v>0.0176459884386582</v>
      </c>
      <c r="F112" s="35"/>
      <c r="G112" s="35"/>
      <c r="H112" s="33"/>
      <c r="I112" s="33"/>
      <c r="J112" s="33"/>
      <c r="K112" s="33"/>
      <c r="L112" s="33"/>
    </row>
    <row r="113" customFormat="false" ht="15" hidden="false" customHeight="false" outlineLevel="0" collapsed="false">
      <c r="A113" s="36" t="s">
        <v>613</v>
      </c>
      <c r="B113" s="76" t="n">
        <v>96.5992</v>
      </c>
      <c r="C113" s="77" t="n">
        <v>5776.6499</v>
      </c>
      <c r="D113" s="45" t="n">
        <f aca="false">B113/B112-1</f>
        <v>-0.00951834098074911</v>
      </c>
      <c r="E113" s="45" t="n">
        <f aca="false">C113/C112-1</f>
        <v>0.00157433725379441</v>
      </c>
      <c r="F113" s="35"/>
      <c r="G113" s="35"/>
      <c r="H113" s="33"/>
      <c r="I113" s="33"/>
      <c r="J113" s="33"/>
      <c r="K113" s="33"/>
      <c r="L113" s="33"/>
    </row>
    <row r="114" customFormat="false" ht="15" hidden="false" customHeight="false" outlineLevel="0" collapsed="false">
      <c r="A114" s="36" t="s">
        <v>614</v>
      </c>
      <c r="B114" s="76" t="n">
        <v>94.0586</v>
      </c>
      <c r="C114" s="77" t="n">
        <v>5712.2002</v>
      </c>
      <c r="D114" s="45" t="n">
        <f aca="false">B114/B113-1</f>
        <v>-0.0263004248482389</v>
      </c>
      <c r="E114" s="45" t="n">
        <f aca="false">C114/C113-1</f>
        <v>-0.0111569337099692</v>
      </c>
      <c r="F114" s="35"/>
      <c r="G114" s="35"/>
      <c r="H114" s="33"/>
      <c r="I114" s="33"/>
      <c r="J114" s="33"/>
      <c r="K114" s="33"/>
      <c r="L114" s="33"/>
    </row>
    <row r="115" customFormat="false" ht="15" hidden="false" customHeight="false" outlineLevel="0" collapsed="false">
      <c r="A115" s="36" t="s">
        <v>615</v>
      </c>
      <c r="B115" s="76" t="n">
        <v>94.8794</v>
      </c>
      <c r="C115" s="77" t="n">
        <v>5693.3101</v>
      </c>
      <c r="D115" s="45" t="n">
        <f aca="false">B115/B114-1</f>
        <v>0.0087264747721103</v>
      </c>
      <c r="E115" s="45" t="n">
        <f aca="false">C115/C114-1</f>
        <v>-0.00330697442992289</v>
      </c>
      <c r="F115" s="35"/>
      <c r="G115" s="35"/>
      <c r="H115" s="33"/>
      <c r="I115" s="33"/>
      <c r="J115" s="33"/>
      <c r="K115" s="33"/>
      <c r="L115" s="33"/>
    </row>
    <row r="116" customFormat="false" ht="15" hidden="false" customHeight="false" outlineLevel="0" collapsed="false">
      <c r="A116" s="36" t="s">
        <v>616</v>
      </c>
      <c r="B116" s="76" t="n">
        <v>90.1794</v>
      </c>
      <c r="C116" s="77" t="n">
        <v>5580.9399</v>
      </c>
      <c r="D116" s="45" t="n">
        <f aca="false">B116/B115-1</f>
        <v>-0.0495365695820168</v>
      </c>
      <c r="E116" s="45" t="n">
        <f aca="false">C116/C115-1</f>
        <v>-0.0197372351103797</v>
      </c>
      <c r="F116" s="35"/>
      <c r="G116" s="35"/>
      <c r="H116" s="33"/>
      <c r="I116" s="33"/>
      <c r="J116" s="33"/>
      <c r="K116" s="33"/>
      <c r="L116" s="33"/>
    </row>
    <row r="117" customFormat="false" ht="15" hidden="false" customHeight="false" outlineLevel="0" collapsed="false">
      <c r="A117" s="36" t="s">
        <v>617</v>
      </c>
      <c r="B117" s="76" t="n">
        <v>89.0655</v>
      </c>
      <c r="C117" s="77" t="n">
        <v>5611.8501</v>
      </c>
      <c r="D117" s="45" t="n">
        <f aca="false">B117/B116-1</f>
        <v>-0.0123520449237853</v>
      </c>
      <c r="E117" s="45" t="n">
        <f aca="false">C117/C116-1</f>
        <v>0.00553852945092626</v>
      </c>
      <c r="F117" s="35"/>
      <c r="G117" s="35"/>
      <c r="H117" s="33"/>
      <c r="I117" s="33"/>
      <c r="J117" s="33"/>
      <c r="K117" s="33"/>
      <c r="L117" s="33"/>
    </row>
    <row r="118" customFormat="false" ht="15" hidden="false" customHeight="false" outlineLevel="0" collapsed="false">
      <c r="A118" s="36" t="s">
        <v>618</v>
      </c>
      <c r="B118" s="76" t="n">
        <v>89.857</v>
      </c>
      <c r="C118" s="77" t="n">
        <v>5633.0698</v>
      </c>
      <c r="D118" s="45" t="n">
        <f aca="false">B118/B117-1</f>
        <v>0.00888671820177289</v>
      </c>
      <c r="E118" s="45" t="n">
        <f aca="false">C118/C117-1</f>
        <v>0.00378123072104164</v>
      </c>
      <c r="F118" s="35"/>
      <c r="G118" s="35"/>
      <c r="H118" s="33"/>
      <c r="I118" s="33"/>
      <c r="J118" s="33"/>
      <c r="K118" s="33"/>
      <c r="L118" s="33"/>
    </row>
    <row r="119" customFormat="false" ht="15" hidden="false" customHeight="false" outlineLevel="0" collapsed="false">
      <c r="A119" s="36" t="s">
        <v>619</v>
      </c>
      <c r="B119" s="76" t="n">
        <v>93.1499</v>
      </c>
      <c r="C119" s="77" t="n">
        <v>5670.9702</v>
      </c>
      <c r="D119" s="45" t="n">
        <f aca="false">B119/B118-1</f>
        <v>0.0366460042066841</v>
      </c>
      <c r="E119" s="45" t="n">
        <f aca="false">C119/C118-1</f>
        <v>0.00672819640899869</v>
      </c>
      <c r="F119" s="35"/>
      <c r="G119" s="35"/>
      <c r="H119" s="33"/>
      <c r="I119" s="33"/>
      <c r="J119" s="33"/>
      <c r="K119" s="33"/>
      <c r="L119" s="33"/>
    </row>
    <row r="120" customFormat="false" ht="15" hidden="false" customHeight="false" outlineLevel="0" collapsed="false">
      <c r="A120" s="36" t="s">
        <v>620</v>
      </c>
      <c r="B120" s="76" t="n">
        <v>75.4638</v>
      </c>
      <c r="C120" s="77" t="n">
        <v>5396.52</v>
      </c>
      <c r="D120" s="45" t="n">
        <f aca="false">B120/B119-1</f>
        <v>-0.189867085203527</v>
      </c>
      <c r="E120" s="45" t="n">
        <f aca="false">C120/C119-1</f>
        <v>-0.048395634313155</v>
      </c>
      <c r="F120" s="35"/>
      <c r="G120" s="35"/>
      <c r="H120" s="33"/>
      <c r="I120" s="33"/>
      <c r="J120" s="33"/>
      <c r="K120" s="33"/>
      <c r="L120" s="33"/>
    </row>
    <row r="121" customFormat="false" ht="15" hidden="false" customHeight="false" outlineLevel="0" collapsed="false">
      <c r="A121" s="36" t="s">
        <v>621</v>
      </c>
      <c r="B121" s="76" t="n">
        <v>69.9919</v>
      </c>
      <c r="C121" s="77" t="n">
        <v>5074.0801</v>
      </c>
      <c r="D121" s="45" t="n">
        <f aca="false">B121/B120-1</f>
        <v>-0.0725102631990439</v>
      </c>
      <c r="E121" s="45" t="n">
        <f aca="false">C121/C120-1</f>
        <v>-0.05974959788901</v>
      </c>
      <c r="F121" s="35"/>
      <c r="G121" s="35"/>
      <c r="H121" s="33"/>
      <c r="I121" s="33"/>
      <c r="J121" s="33"/>
      <c r="K121" s="33"/>
      <c r="L121" s="33"/>
    </row>
    <row r="122" customFormat="false" ht="15" hidden="false" customHeight="false" outlineLevel="0" collapsed="false">
      <c r="A122" s="36" t="s">
        <v>622</v>
      </c>
      <c r="B122" s="76" t="n">
        <v>73.2848</v>
      </c>
      <c r="C122" s="77" t="n">
        <v>5062.25</v>
      </c>
      <c r="D122" s="45" t="n">
        <f aca="false">B122/B121-1</f>
        <v>0.0470468725666828</v>
      </c>
      <c r="E122" s="45" t="n">
        <f aca="false">C122/C121-1</f>
        <v>-0.00233147679320245</v>
      </c>
      <c r="F122" s="35"/>
      <c r="G122" s="35"/>
      <c r="H122" s="33"/>
      <c r="I122" s="33"/>
      <c r="J122" s="33"/>
      <c r="K122" s="33"/>
      <c r="L122" s="33"/>
    </row>
    <row r="123" customFormat="false" ht="15" hidden="false" customHeight="false" outlineLevel="0" collapsed="false">
      <c r="A123" s="36" t="s">
        <v>623</v>
      </c>
      <c r="B123" s="76" t="n">
        <v>70.9299</v>
      </c>
      <c r="C123" s="77" t="n">
        <v>4982.77</v>
      </c>
      <c r="D123" s="45" t="n">
        <f aca="false">B123/B122-1</f>
        <v>-0.0321335392878196</v>
      </c>
      <c r="E123" s="45" t="n">
        <f aca="false">C123/C122-1</f>
        <v>-0.0157005284211565</v>
      </c>
      <c r="F123" s="35"/>
      <c r="G123" s="35"/>
      <c r="H123" s="33"/>
      <c r="I123" s="33"/>
      <c r="J123" s="33"/>
      <c r="K123" s="33"/>
      <c r="L123" s="33"/>
    </row>
    <row r="124" customFormat="false" ht="15" hidden="false" customHeight="false" outlineLevel="0" collapsed="false">
      <c r="A124" s="36" t="s">
        <v>624</v>
      </c>
      <c r="B124" s="76" t="n">
        <v>82.2647</v>
      </c>
      <c r="C124" s="77" t="n">
        <v>5456.8999</v>
      </c>
      <c r="D124" s="45" t="n">
        <f aca="false">B124/B123-1</f>
        <v>0.159802847600236</v>
      </c>
      <c r="E124" s="45" t="n">
        <f aca="false">C124/C123-1</f>
        <v>0.0951538802714154</v>
      </c>
      <c r="F124" s="35"/>
      <c r="G124" s="35"/>
      <c r="H124" s="33"/>
      <c r="I124" s="33"/>
      <c r="J124" s="33"/>
      <c r="K124" s="33"/>
      <c r="L124" s="33"/>
    </row>
    <row r="125" customFormat="false" ht="15" hidden="false" customHeight="false" outlineLevel="0" collapsed="false">
      <c r="A125" s="36" t="s">
        <v>625</v>
      </c>
      <c r="B125" s="76" t="n">
        <v>77.1347</v>
      </c>
      <c r="C125" s="77" t="n">
        <v>5268.0498</v>
      </c>
      <c r="D125" s="45" t="n">
        <f aca="false">B125/B124-1</f>
        <v>-0.0623596755351932</v>
      </c>
      <c r="E125" s="45" t="n">
        <f aca="false">C125/C124-1</f>
        <v>-0.0346075800290931</v>
      </c>
      <c r="F125" s="35"/>
      <c r="G125" s="35"/>
      <c r="H125" s="33"/>
      <c r="I125" s="33"/>
      <c r="J125" s="33"/>
      <c r="K125" s="33"/>
      <c r="L125" s="33"/>
    </row>
    <row r="126" customFormat="false" ht="15" hidden="false" customHeight="false" outlineLevel="0" collapsed="false">
      <c r="A126" s="36" t="s">
        <v>626</v>
      </c>
      <c r="B126" s="76" t="n">
        <v>80.0564</v>
      </c>
      <c r="C126" s="77" t="n">
        <v>5363.3599</v>
      </c>
      <c r="D126" s="45" t="n">
        <f aca="false">B126/B125-1</f>
        <v>0.0378778941254714</v>
      </c>
      <c r="E126" s="45" t="n">
        <f aca="false">C126/C125-1</f>
        <v>0.0180921030776893</v>
      </c>
      <c r="F126" s="35"/>
      <c r="G126" s="35"/>
      <c r="H126" s="33"/>
      <c r="I126" s="33"/>
      <c r="J126" s="33"/>
      <c r="K126" s="33"/>
      <c r="L126" s="33"/>
    </row>
    <row r="127" customFormat="false" ht="15" hidden="false" customHeight="false" outlineLevel="0" collapsed="false">
      <c r="A127" s="36" t="s">
        <v>627</v>
      </c>
      <c r="B127" s="76" t="n">
        <v>83.2418</v>
      </c>
      <c r="C127" s="77" t="n">
        <v>5405.9702</v>
      </c>
      <c r="D127" s="45" t="n">
        <f aca="false">B127/B126-1</f>
        <v>0.0397894484388506</v>
      </c>
      <c r="E127" s="45" t="n">
        <f aca="false">C127/C126-1</f>
        <v>0.0079447027226347</v>
      </c>
      <c r="F127" s="35"/>
      <c r="G127" s="35"/>
      <c r="H127" s="33"/>
      <c r="I127" s="33"/>
      <c r="J127" s="33"/>
      <c r="K127" s="33"/>
      <c r="L127" s="33"/>
    </row>
    <row r="128" customFormat="false" ht="15" hidden="false" customHeight="false" outlineLevel="0" collapsed="false">
      <c r="A128" s="36" t="s">
        <v>628</v>
      </c>
      <c r="B128" s="76" t="n">
        <v>83.5349</v>
      </c>
      <c r="C128" s="77" t="n">
        <v>5396.6299</v>
      </c>
      <c r="D128" s="45" t="n">
        <f aca="false">B128/B127-1</f>
        <v>0.00352106754058656</v>
      </c>
      <c r="E128" s="45" t="n">
        <f aca="false">C128/C127-1</f>
        <v>-0.00172777496997667</v>
      </c>
      <c r="F128" s="35"/>
      <c r="G128" s="35"/>
      <c r="H128" s="33"/>
      <c r="I128" s="33"/>
      <c r="J128" s="33"/>
      <c r="K128" s="33"/>
      <c r="L128" s="33"/>
    </row>
    <row r="129" customFormat="false" ht="15" hidden="false" customHeight="false" outlineLevel="0" collapsed="false">
      <c r="A129" s="36" t="s">
        <v>629</v>
      </c>
      <c r="B129" s="76" t="n">
        <v>81.4537</v>
      </c>
      <c r="C129" s="77" t="n">
        <v>5275.7002</v>
      </c>
      <c r="D129" s="45" t="n">
        <f aca="false">B129/B128-1</f>
        <v>-0.0249141376837705</v>
      </c>
      <c r="E129" s="45" t="n">
        <f aca="false">C129/C128-1</f>
        <v>-0.0224083737889825</v>
      </c>
      <c r="F129" s="35"/>
      <c r="G129" s="35"/>
      <c r="H129" s="33"/>
      <c r="I129" s="33"/>
      <c r="J129" s="33"/>
      <c r="K129" s="33"/>
      <c r="L129" s="33"/>
    </row>
    <row r="130" customFormat="false" ht="15" hidden="false" customHeight="false" outlineLevel="0" collapsed="false">
      <c r="A130" s="36" t="s">
        <v>630</v>
      </c>
      <c r="B130" s="76" t="n">
        <v>82.8607</v>
      </c>
      <c r="C130" s="77" t="n">
        <v>5282.7002</v>
      </c>
      <c r="D130" s="45" t="n">
        <f aca="false">B130/B129-1</f>
        <v>0.0172736167908885</v>
      </c>
      <c r="E130" s="45" t="n">
        <f aca="false">C130/C129-1</f>
        <v>0.00132683809440115</v>
      </c>
      <c r="F130" s="35"/>
      <c r="G130" s="35"/>
      <c r="H130" s="33"/>
      <c r="I130" s="33"/>
      <c r="J130" s="33"/>
      <c r="K130" s="33"/>
      <c r="L130" s="33"/>
    </row>
    <row r="131" customFormat="false" ht="15" hidden="false" customHeight="false" outlineLevel="0" collapsed="false">
      <c r="A131" s="36" t="s">
        <v>631</v>
      </c>
      <c r="B131" s="76" t="n">
        <v>80.5058</v>
      </c>
      <c r="C131" s="77" t="n">
        <v>5158.2002</v>
      </c>
      <c r="D131" s="45" t="n">
        <f aca="false">B131/B130-1</f>
        <v>-0.0284199867971185</v>
      </c>
      <c r="E131" s="45" t="n">
        <f aca="false">C131/C130-1</f>
        <v>-0.0235674930029154</v>
      </c>
      <c r="F131" s="35"/>
      <c r="G131" s="35"/>
      <c r="H131" s="33"/>
      <c r="I131" s="33"/>
      <c r="J131" s="33"/>
      <c r="K131" s="33"/>
      <c r="L131" s="33"/>
    </row>
    <row r="132" customFormat="false" ht="15" hidden="false" customHeight="false" outlineLevel="0" collapsed="false">
      <c r="A132" s="36" t="s">
        <v>632</v>
      </c>
      <c r="B132" s="76" t="n">
        <v>82.6841</v>
      </c>
      <c r="C132" s="77" t="n">
        <v>5287.7598</v>
      </c>
      <c r="D132" s="45" t="n">
        <f aca="false">B132/B131-1</f>
        <v>0.0270576778319078</v>
      </c>
      <c r="E132" s="45" t="n">
        <f aca="false">C132/C131-1</f>
        <v>0.0251172104564688</v>
      </c>
      <c r="F132" s="35"/>
      <c r="G132" s="35"/>
      <c r="H132" s="33"/>
      <c r="I132" s="33"/>
      <c r="J132" s="33"/>
      <c r="K132" s="33"/>
      <c r="L132" s="33"/>
    </row>
    <row r="133" customFormat="false" ht="15" hidden="false" customHeight="false" outlineLevel="0" collapsed="false">
      <c r="A133" s="36" t="s">
        <v>633</v>
      </c>
      <c r="B133" s="76" t="n">
        <v>87.6797</v>
      </c>
      <c r="C133" s="77" t="n">
        <v>5375.8599</v>
      </c>
      <c r="D133" s="45" t="n">
        <f aca="false">B133/B132-1</f>
        <v>0.0604179038049637</v>
      </c>
      <c r="E133" s="45" t="n">
        <f aca="false">C133/C132-1</f>
        <v>0.016661138805889</v>
      </c>
      <c r="F133" s="35"/>
      <c r="G133" s="35"/>
      <c r="H133" s="33"/>
      <c r="I133" s="33"/>
      <c r="J133" s="33"/>
      <c r="K133" s="33"/>
      <c r="L133" s="33"/>
    </row>
    <row r="134" customFormat="false" ht="15" hidden="false" customHeight="false" outlineLevel="0" collapsed="false">
      <c r="A134" s="36" t="s">
        <v>634</v>
      </c>
      <c r="B134" s="76" t="n">
        <v>92.8327</v>
      </c>
      <c r="C134" s="77" t="n">
        <v>5484.77</v>
      </c>
      <c r="D134" s="45" t="n">
        <f aca="false">B134/B133-1</f>
        <v>0.0587707302830645</v>
      </c>
      <c r="E134" s="45" t="n">
        <f aca="false">C134/C133-1</f>
        <v>0.020259103106463</v>
      </c>
      <c r="F134" s="35"/>
      <c r="G134" s="35"/>
      <c r="H134" s="33"/>
      <c r="I134" s="33"/>
      <c r="J134" s="33"/>
      <c r="K134" s="33"/>
      <c r="L134" s="33"/>
    </row>
    <row r="135" customFormat="false" ht="15" hidden="false" customHeight="false" outlineLevel="0" collapsed="false">
      <c r="A135" s="36" t="s">
        <v>635</v>
      </c>
      <c r="B135" s="76" t="n">
        <v>93.3146</v>
      </c>
      <c r="C135" s="77" t="n">
        <v>5525.21</v>
      </c>
      <c r="D135" s="45" t="n">
        <f aca="false">B135/B134-1</f>
        <v>0.00519105875408132</v>
      </c>
      <c r="E135" s="45" t="n">
        <f aca="false">C135/C134-1</f>
        <v>0.00737314417924528</v>
      </c>
      <c r="F135" s="35"/>
      <c r="G135" s="35"/>
      <c r="H135" s="33"/>
      <c r="I135" s="33"/>
      <c r="J135" s="33"/>
      <c r="K135" s="33"/>
      <c r="L135" s="33"/>
    </row>
    <row r="136" customFormat="false" ht="15" hidden="false" customHeight="false" outlineLevel="0" collapsed="false">
      <c r="A136" s="36" t="s">
        <v>636</v>
      </c>
      <c r="B136" s="76" t="n">
        <v>92.9016</v>
      </c>
      <c r="C136" s="77" t="n">
        <v>5528.75</v>
      </c>
      <c r="D136" s="45" t="n">
        <f aca="false">B136/B135-1</f>
        <v>-0.00442588833901658</v>
      </c>
      <c r="E136" s="45" t="n">
        <f aca="false">C136/C135-1</f>
        <v>0.000640699629516295</v>
      </c>
      <c r="F136" s="35"/>
      <c r="G136" s="35"/>
      <c r="H136" s="33"/>
      <c r="I136" s="33"/>
      <c r="J136" s="33"/>
      <c r="K136" s="33"/>
      <c r="L136" s="33"/>
    </row>
    <row r="137" customFormat="false" ht="15" hidden="false" customHeight="false" outlineLevel="0" collapsed="false">
      <c r="A137" s="36" t="s">
        <v>637</v>
      </c>
      <c r="B137" s="76" t="n">
        <v>92.223</v>
      </c>
      <c r="C137" s="77" t="n">
        <v>5560.8301</v>
      </c>
      <c r="D137" s="45" t="n">
        <f aca="false">B137/B136-1</f>
        <v>-0.00730450282879958</v>
      </c>
      <c r="E137" s="45" t="n">
        <f aca="false">C137/C136-1</f>
        <v>0.00580241465068965</v>
      </c>
      <c r="F137" s="35"/>
      <c r="G137" s="35"/>
      <c r="H137" s="33"/>
      <c r="I137" s="33"/>
      <c r="J137" s="33"/>
      <c r="K137" s="33"/>
      <c r="L137" s="33"/>
    </row>
    <row r="138" customFormat="false" ht="15" hidden="false" customHeight="false" outlineLevel="0" collapsed="false">
      <c r="A138" s="36" t="s">
        <v>638</v>
      </c>
      <c r="B138" s="76" t="n">
        <v>90.2366</v>
      </c>
      <c r="C138" s="77" t="n">
        <v>5569.0601</v>
      </c>
      <c r="D138" s="45" t="n">
        <f aca="false">B138/B137-1</f>
        <v>-0.0215390954534119</v>
      </c>
      <c r="E138" s="45" t="n">
        <f aca="false">C138/C137-1</f>
        <v>0.00147999486623407</v>
      </c>
      <c r="F138" s="35"/>
      <c r="G138" s="35"/>
      <c r="H138" s="33"/>
      <c r="I138" s="33"/>
      <c r="J138" s="33"/>
      <c r="K138" s="33"/>
      <c r="L138" s="33"/>
    </row>
    <row r="139" customFormat="false" ht="15" hidden="false" customHeight="false" outlineLevel="0" collapsed="false">
      <c r="A139" s="36" t="s">
        <v>639</v>
      </c>
      <c r="B139" s="76" t="n">
        <v>90.4234</v>
      </c>
      <c r="C139" s="77" t="n">
        <v>5604.1401</v>
      </c>
      <c r="D139" s="45" t="n">
        <f aca="false">B139/B138-1</f>
        <v>0.00207011345728891</v>
      </c>
      <c r="E139" s="45" t="n">
        <f aca="false">C139/C138-1</f>
        <v>0.006299088063352</v>
      </c>
      <c r="F139" s="35"/>
      <c r="G139" s="35"/>
      <c r="H139" s="33"/>
      <c r="I139" s="33"/>
      <c r="J139" s="33"/>
      <c r="K139" s="33"/>
      <c r="L139" s="33"/>
    </row>
    <row r="140" customFormat="false" ht="15" hidden="false" customHeight="false" outlineLevel="0" collapsed="false">
      <c r="A140" s="36" t="s">
        <v>640</v>
      </c>
      <c r="B140" s="76" t="n">
        <v>93.0196</v>
      </c>
      <c r="C140" s="77" t="n">
        <v>5686.6699</v>
      </c>
      <c r="D140" s="45" t="n">
        <f aca="false">B140/B139-1</f>
        <v>0.0287115945651235</v>
      </c>
      <c r="E140" s="45" t="n">
        <f aca="false">C140/C139-1</f>
        <v>0.0147265768748359</v>
      </c>
      <c r="F140" s="35"/>
      <c r="G140" s="35"/>
      <c r="H140" s="33"/>
      <c r="I140" s="33"/>
      <c r="J140" s="33"/>
      <c r="K140" s="33"/>
      <c r="L140" s="33"/>
    </row>
    <row r="141" customFormat="false" ht="15" hidden="false" customHeight="false" outlineLevel="0" collapsed="false">
      <c r="A141" s="36" t="s">
        <v>641</v>
      </c>
      <c r="B141" s="76" t="n">
        <v>92.7934</v>
      </c>
      <c r="C141" s="77" t="n">
        <v>5650.3799</v>
      </c>
      <c r="D141" s="45" t="n">
        <f aca="false">B141/B140-1</f>
        <v>-0.00243174556760073</v>
      </c>
      <c r="E141" s="45" t="n">
        <f aca="false">C141/C140-1</f>
        <v>-0.00638159074434763</v>
      </c>
      <c r="F141" s="35"/>
      <c r="G141" s="35"/>
      <c r="H141" s="33"/>
      <c r="I141" s="33"/>
      <c r="J141" s="33"/>
      <c r="K141" s="33"/>
      <c r="L141" s="33"/>
    </row>
    <row r="142" customFormat="false" ht="15" hidden="false" customHeight="false" outlineLevel="0" collapsed="false">
      <c r="A142" s="36" t="s">
        <v>642</v>
      </c>
      <c r="B142" s="76" t="n">
        <v>92.3902</v>
      </c>
      <c r="C142" s="77" t="n">
        <v>5606.9102</v>
      </c>
      <c r="D142" s="45" t="n">
        <f aca="false">B142/B141-1</f>
        <v>-0.00434513661531977</v>
      </c>
      <c r="E142" s="45" t="n">
        <f aca="false">C142/C141-1</f>
        <v>-0.00769323492744256</v>
      </c>
      <c r="F142" s="35"/>
      <c r="G142" s="35"/>
      <c r="H142" s="33"/>
      <c r="I142" s="33"/>
      <c r="J142" s="33"/>
      <c r="K142" s="33"/>
      <c r="L142" s="33"/>
    </row>
    <row r="143" customFormat="false" ht="15" hidden="false" customHeight="false" outlineLevel="0" collapsed="false">
      <c r="A143" s="36" t="s">
        <v>643</v>
      </c>
      <c r="B143" s="76" t="n">
        <v>94.1997</v>
      </c>
      <c r="C143" s="77" t="n">
        <v>5631.2798</v>
      </c>
      <c r="D143" s="45" t="n">
        <f aca="false">B143/B142-1</f>
        <v>0.0195854105738489</v>
      </c>
      <c r="E143" s="45" t="n">
        <f aca="false">C143/C142-1</f>
        <v>0.00434635104375314</v>
      </c>
      <c r="F143" s="35"/>
      <c r="G143" s="35"/>
      <c r="H143" s="33"/>
      <c r="I143" s="33"/>
      <c r="J143" s="33"/>
      <c r="K143" s="33"/>
      <c r="L143" s="33"/>
    </row>
    <row r="144" customFormat="false" ht="15" hidden="false" customHeight="false" outlineLevel="0" collapsed="false">
      <c r="A144" s="36" t="s">
        <v>644</v>
      </c>
      <c r="B144" s="76" t="n">
        <v>94.6225</v>
      </c>
      <c r="C144" s="77" t="n">
        <v>5663.9399</v>
      </c>
      <c r="D144" s="45" t="n">
        <f aca="false">B144/B143-1</f>
        <v>0.00448833701168905</v>
      </c>
      <c r="E144" s="45" t="n">
        <f aca="false">C144/C143-1</f>
        <v>0.00579976509069935</v>
      </c>
      <c r="F144" s="35"/>
      <c r="G144" s="35"/>
      <c r="H144" s="33"/>
      <c r="I144" s="33"/>
      <c r="J144" s="33"/>
      <c r="K144" s="33"/>
      <c r="L144" s="33"/>
    </row>
    <row r="145" customFormat="false" ht="15" hidden="false" customHeight="false" outlineLevel="0" collapsed="false">
      <c r="A145" s="36" t="s">
        <v>645</v>
      </c>
      <c r="B145" s="76" t="n">
        <v>94.3176</v>
      </c>
      <c r="C145" s="77" t="n">
        <v>5659.9102</v>
      </c>
      <c r="D145" s="45" t="n">
        <f aca="false">B145/B144-1</f>
        <v>-0.00322227799941877</v>
      </c>
      <c r="E145" s="45" t="n">
        <f aca="false">C145/C144-1</f>
        <v>-0.000711465882609397</v>
      </c>
      <c r="F145" s="35"/>
      <c r="G145" s="35"/>
      <c r="H145" s="33"/>
      <c r="I145" s="33"/>
      <c r="J145" s="33"/>
      <c r="K145" s="33"/>
      <c r="L145" s="33"/>
    </row>
    <row r="146" customFormat="false" ht="15" hidden="false" customHeight="false" outlineLevel="0" collapsed="false">
      <c r="A146" s="36" t="s">
        <v>646</v>
      </c>
      <c r="B146" s="76" t="n">
        <v>101.703</v>
      </c>
      <c r="C146" s="77" t="n">
        <v>5844.1899</v>
      </c>
      <c r="D146" s="45" t="n">
        <f aca="false">B146/B145-1</f>
        <v>0.078303519173516</v>
      </c>
      <c r="E146" s="45" t="n">
        <f aca="false">C146/C145-1</f>
        <v>0.0325587674518228</v>
      </c>
      <c r="F146" s="35"/>
      <c r="G146" s="35"/>
      <c r="H146" s="33"/>
      <c r="I146" s="33"/>
      <c r="J146" s="33"/>
      <c r="K146" s="33"/>
      <c r="L146" s="33"/>
    </row>
    <row r="147" customFormat="false" ht="15" hidden="false" customHeight="false" outlineLevel="0" collapsed="false">
      <c r="A147" s="36" t="s">
        <v>647</v>
      </c>
      <c r="B147" s="76" t="n">
        <v>106.0594</v>
      </c>
      <c r="C147" s="77" t="n">
        <v>5886.5498</v>
      </c>
      <c r="D147" s="45" t="n">
        <f aca="false">B147/B146-1</f>
        <v>0.0428345279883582</v>
      </c>
      <c r="E147" s="45" t="n">
        <f aca="false">C147/C146-1</f>
        <v>0.00724820731783527</v>
      </c>
      <c r="F147" s="35"/>
      <c r="G147" s="35"/>
      <c r="H147" s="33"/>
      <c r="I147" s="33"/>
      <c r="J147" s="33"/>
      <c r="K147" s="33"/>
      <c r="L147" s="33"/>
    </row>
    <row r="148" customFormat="false" ht="15" hidden="false" customHeight="false" outlineLevel="0" collapsed="false">
      <c r="A148" s="36" t="s">
        <v>648</v>
      </c>
      <c r="B148" s="76" t="n">
        <v>109.1768</v>
      </c>
      <c r="C148" s="77" t="n">
        <v>5892.5801</v>
      </c>
      <c r="D148" s="45" t="n">
        <f aca="false">B148/B147-1</f>
        <v>0.0293929628114058</v>
      </c>
      <c r="E148" s="45" t="n">
        <f aca="false">C148/C147-1</f>
        <v>0.00102442011108117</v>
      </c>
      <c r="F148" s="35"/>
      <c r="G148" s="35"/>
      <c r="H148" s="33"/>
      <c r="I148" s="33"/>
      <c r="J148" s="33"/>
      <c r="K148" s="33"/>
      <c r="L148" s="33"/>
    </row>
    <row r="149" customFormat="false" ht="15" hidden="false" customHeight="false" outlineLevel="0" collapsed="false">
      <c r="A149" s="36" t="s">
        <v>649</v>
      </c>
      <c r="B149" s="76" t="n">
        <v>109.0293</v>
      </c>
      <c r="C149" s="77" t="n">
        <v>5916.9302</v>
      </c>
      <c r="D149" s="45" t="n">
        <f aca="false">B149/B148-1</f>
        <v>-0.00135101963054418</v>
      </c>
      <c r="E149" s="45" t="n">
        <f aca="false">C149/C148-1</f>
        <v>0.00413233245654143</v>
      </c>
      <c r="F149" s="35"/>
      <c r="G149" s="35"/>
      <c r="H149" s="33"/>
      <c r="I149" s="33"/>
      <c r="J149" s="33"/>
      <c r="K149" s="33"/>
      <c r="L149" s="33"/>
    </row>
    <row r="150" customFormat="false" ht="15" hidden="false" customHeight="false" outlineLevel="0" collapsed="false">
      <c r="A150" s="36" t="s">
        <v>650</v>
      </c>
      <c r="B150" s="76" t="n">
        <v>112.2942</v>
      </c>
      <c r="C150" s="77" t="n">
        <v>5958.3799</v>
      </c>
      <c r="D150" s="45" t="n">
        <f aca="false">B150/B149-1</f>
        <v>0.029945161529974</v>
      </c>
      <c r="E150" s="45" t="n">
        <f aca="false">C150/C149-1</f>
        <v>0.00700527107789783</v>
      </c>
      <c r="F150" s="35"/>
      <c r="G150" s="35"/>
      <c r="H150" s="33"/>
      <c r="I150" s="33"/>
      <c r="J150" s="33"/>
      <c r="K150" s="33"/>
      <c r="L150" s="33"/>
    </row>
    <row r="151" customFormat="false" ht="15" hidden="false" customHeight="false" outlineLevel="0" collapsed="false">
      <c r="A151" s="36" t="s">
        <v>651</v>
      </c>
      <c r="B151" s="76" t="n">
        <v>112.3827</v>
      </c>
      <c r="C151" s="77" t="n">
        <v>5963.6001</v>
      </c>
      <c r="D151" s="45" t="n">
        <f aca="false">B151/B150-1</f>
        <v>0.000788108379595753</v>
      </c>
      <c r="E151" s="45" t="n">
        <f aca="false">C151/C150-1</f>
        <v>0.000876110635375849</v>
      </c>
      <c r="F151" s="35"/>
      <c r="G151" s="35"/>
      <c r="H151" s="33"/>
      <c r="I151" s="33"/>
      <c r="J151" s="33"/>
      <c r="K151" s="33"/>
      <c r="L151" s="33"/>
    </row>
    <row r="152" customFormat="false" ht="15" hidden="false" customHeight="false" outlineLevel="0" collapsed="false">
      <c r="A152" s="36" t="s">
        <v>652</v>
      </c>
      <c r="B152" s="76" t="n">
        <v>112.3335</v>
      </c>
      <c r="C152" s="77" t="n">
        <v>5940.46</v>
      </c>
      <c r="D152" s="45" t="n">
        <f aca="false">B152/B151-1</f>
        <v>-0.000437789802167021</v>
      </c>
      <c r="E152" s="45" t="n">
        <f aca="false">C152/C151-1</f>
        <v>-0.0038802232899553</v>
      </c>
      <c r="F152" s="35"/>
      <c r="G152" s="35"/>
      <c r="H152" s="33"/>
      <c r="I152" s="33"/>
      <c r="J152" s="33"/>
      <c r="K152" s="33"/>
      <c r="L152" s="33"/>
    </row>
    <row r="153" customFormat="false" ht="15" hidden="false" customHeight="false" outlineLevel="0" collapsed="false">
      <c r="A153" s="36" t="s">
        <v>653</v>
      </c>
      <c r="B153" s="76" t="n">
        <v>110.0717</v>
      </c>
      <c r="C153" s="77" t="n">
        <v>5844.6099</v>
      </c>
      <c r="D153" s="45" t="n">
        <f aca="false">B153/B152-1</f>
        <v>-0.0201346882274654</v>
      </c>
      <c r="E153" s="45" t="n">
        <f aca="false">C153/C152-1</f>
        <v>-0.0161351309494551</v>
      </c>
      <c r="F153" s="35"/>
      <c r="G153" s="35"/>
      <c r="H153" s="33"/>
      <c r="I153" s="33"/>
      <c r="J153" s="33"/>
      <c r="K153" s="33"/>
      <c r="L153" s="33"/>
    </row>
    <row r="154" customFormat="false" ht="15" hidden="false" customHeight="false" outlineLevel="0" collapsed="false">
      <c r="A154" s="36" t="s">
        <v>654</v>
      </c>
      <c r="B154" s="76" t="n">
        <v>110.0913</v>
      </c>
      <c r="C154" s="77" t="n">
        <v>5842.0098</v>
      </c>
      <c r="D154" s="45" t="n">
        <f aca="false">B154/B153-1</f>
        <v>0.000178065751687218</v>
      </c>
      <c r="E154" s="45" t="n">
        <f aca="false">C154/C153-1</f>
        <v>-0.000444871436158789</v>
      </c>
      <c r="F154" s="35"/>
      <c r="G154" s="35"/>
      <c r="H154" s="33"/>
      <c r="I154" s="33"/>
      <c r="J154" s="33"/>
      <c r="K154" s="33"/>
      <c r="L154" s="33"/>
    </row>
    <row r="155" customFormat="false" ht="15" hidden="false" customHeight="false" outlineLevel="0" collapsed="false">
      <c r="A155" s="36" t="s">
        <v>655</v>
      </c>
      <c r="B155" s="76" t="n">
        <v>110.2487</v>
      </c>
      <c r="C155" s="77" t="n">
        <v>5802.8198</v>
      </c>
      <c r="D155" s="45" t="n">
        <f aca="false">B155/B154-1</f>
        <v>0.00142972242129935</v>
      </c>
      <c r="E155" s="45" t="n">
        <f aca="false">C155/C154-1</f>
        <v>-0.00670830781557397</v>
      </c>
      <c r="F155" s="35"/>
      <c r="G155" s="35"/>
      <c r="H155" s="33"/>
      <c r="I155" s="33"/>
      <c r="J155" s="33"/>
      <c r="K155" s="33"/>
      <c r="L155" s="33"/>
    </row>
    <row r="156" customFormat="false" ht="15" hidden="false" customHeight="false" outlineLevel="0" collapsed="false">
      <c r="A156" s="36" t="s">
        <v>656</v>
      </c>
      <c r="B156" s="76" t="n">
        <v>112.0975</v>
      </c>
      <c r="C156" s="77" t="n">
        <v>5921.54</v>
      </c>
      <c r="D156" s="45" t="n">
        <f aca="false">B156/B155-1</f>
        <v>0.0167693587316675</v>
      </c>
      <c r="E156" s="45" t="n">
        <f aca="false">C156/C155-1</f>
        <v>0.0204590533726379</v>
      </c>
      <c r="F156" s="35"/>
      <c r="G156" s="35"/>
      <c r="H156" s="33"/>
      <c r="I156" s="33"/>
      <c r="J156" s="33"/>
      <c r="K156" s="33"/>
      <c r="L156" s="33"/>
    </row>
    <row r="157" customFormat="false" ht="15" hidden="false" customHeight="false" outlineLevel="0" collapsed="false">
      <c r="A157" s="36" t="s">
        <v>657</v>
      </c>
      <c r="B157" s="76" t="n">
        <v>111.8811</v>
      </c>
      <c r="C157" s="77" t="n">
        <v>5888.5498</v>
      </c>
      <c r="D157" s="45" t="n">
        <f aca="false">B157/B156-1</f>
        <v>-0.00193046232074745</v>
      </c>
      <c r="E157" s="45" t="n">
        <f aca="false">C157/C156-1</f>
        <v>-0.00557121964894269</v>
      </c>
      <c r="F157" s="35"/>
      <c r="G157" s="35"/>
      <c r="H157" s="33"/>
      <c r="I157" s="33"/>
      <c r="J157" s="33"/>
      <c r="K157" s="33"/>
      <c r="L157" s="33"/>
    </row>
    <row r="158" customFormat="false" ht="15" hidden="false" customHeight="false" outlineLevel="0" collapsed="false">
      <c r="A158" s="36" t="s">
        <v>658</v>
      </c>
      <c r="B158" s="76" t="n">
        <v>111.7435</v>
      </c>
      <c r="C158" s="77" t="n">
        <v>5912.1699</v>
      </c>
      <c r="D158" s="45" t="n">
        <f aca="false">B158/B157-1</f>
        <v>-0.001229877074859</v>
      </c>
      <c r="E158" s="45" t="n">
        <f aca="false">C158/C157-1</f>
        <v>0.00401119134629724</v>
      </c>
      <c r="F158" s="35"/>
      <c r="G158" s="35"/>
      <c r="H158" s="33"/>
      <c r="I158" s="33"/>
      <c r="J158" s="33"/>
      <c r="K158" s="33"/>
      <c r="L158" s="33"/>
    </row>
    <row r="159" customFormat="false" ht="15" hidden="false" customHeight="false" outlineLevel="0" collapsed="false">
      <c r="A159" s="36" t="s">
        <v>659</v>
      </c>
      <c r="B159" s="76" t="n">
        <v>109.4226</v>
      </c>
      <c r="C159" s="77" t="n">
        <v>5911.6899</v>
      </c>
      <c r="D159" s="45" t="n">
        <f aca="false">B159/B158-1</f>
        <v>-0.0207698881814155</v>
      </c>
      <c r="E159" s="45" t="n">
        <f aca="false">C159/C158-1</f>
        <v>-8.11884651690242E-005</v>
      </c>
      <c r="F159" s="35"/>
      <c r="G159" s="35"/>
      <c r="H159" s="33"/>
      <c r="I159" s="33"/>
      <c r="J159" s="33"/>
      <c r="K159" s="33"/>
      <c r="L159" s="33"/>
    </row>
    <row r="160" customFormat="false" ht="15" hidden="false" customHeight="false" outlineLevel="0" collapsed="false">
      <c r="A160" s="36" t="s">
        <v>660</v>
      </c>
      <c r="B160" s="76" t="n">
        <v>106.2856</v>
      </c>
      <c r="C160" s="77" t="n">
        <v>5935.9399</v>
      </c>
      <c r="D160" s="45" t="n">
        <f aca="false">B160/B159-1</f>
        <v>-0.0286686662535893</v>
      </c>
      <c r="E160" s="45" t="n">
        <f aca="false">C160/C159-1</f>
        <v>0.00410204195588815</v>
      </c>
      <c r="F160" s="35"/>
      <c r="G160" s="35"/>
      <c r="H160" s="33"/>
      <c r="I160" s="33"/>
      <c r="J160" s="33"/>
      <c r="K160" s="33"/>
      <c r="L160" s="33"/>
    </row>
    <row r="161" customFormat="false" ht="15" hidden="false" customHeight="false" outlineLevel="0" collapsed="false">
      <c r="A161" s="36" t="s">
        <v>661</v>
      </c>
      <c r="B161" s="76" t="n">
        <v>110.0422</v>
      </c>
      <c r="C161" s="77" t="n">
        <v>5970.3701</v>
      </c>
      <c r="D161" s="45" t="n">
        <f aca="false">B161/B160-1</f>
        <v>0.0353443928434332</v>
      </c>
      <c r="E161" s="45" t="n">
        <f aca="false">C161/C160-1</f>
        <v>0.0058002945750848</v>
      </c>
      <c r="F161" s="35"/>
      <c r="G161" s="35"/>
      <c r="H161" s="33"/>
      <c r="I161" s="33"/>
      <c r="J161" s="33"/>
      <c r="K161" s="33"/>
      <c r="L161" s="33"/>
    </row>
    <row r="162" customFormat="false" ht="15" hidden="false" customHeight="false" outlineLevel="0" collapsed="false">
      <c r="A162" s="36" t="s">
        <v>662</v>
      </c>
      <c r="B162" s="76" t="n">
        <v>110.8289</v>
      </c>
      <c r="C162" s="77" t="n">
        <v>5970.8101</v>
      </c>
      <c r="D162" s="45" t="n">
        <f aca="false">B162/B161-1</f>
        <v>0.00714907553647604</v>
      </c>
      <c r="E162" s="45" t="n">
        <f aca="false">C162/C161-1</f>
        <v>7.36972738089037E-005</v>
      </c>
      <c r="F162" s="35"/>
      <c r="G162" s="35"/>
      <c r="H162" s="33"/>
      <c r="I162" s="33"/>
      <c r="J162" s="33"/>
      <c r="K162" s="33"/>
      <c r="L162" s="33"/>
    </row>
    <row r="163" customFormat="false" ht="15" hidden="false" customHeight="false" outlineLevel="0" collapsed="false">
      <c r="A163" s="36" t="s">
        <v>663</v>
      </c>
      <c r="B163" s="76" t="n">
        <v>109.9635</v>
      </c>
      <c r="C163" s="77" t="n">
        <v>5939.2998</v>
      </c>
      <c r="D163" s="45" t="n">
        <f aca="false">B163/B162-1</f>
        <v>-0.00780843263805753</v>
      </c>
      <c r="E163" s="45" t="n">
        <f aca="false">C163/C162-1</f>
        <v>-0.00527739108634517</v>
      </c>
      <c r="F163" s="35"/>
      <c r="G163" s="35"/>
      <c r="H163" s="33"/>
      <c r="I163" s="33"/>
      <c r="J163" s="33"/>
      <c r="K163" s="33"/>
      <c r="L163" s="33"/>
    </row>
    <row r="164" customFormat="false" ht="15" hidden="false" customHeight="false" outlineLevel="0" collapsed="false">
      <c r="A164" s="36" t="s">
        <v>664</v>
      </c>
      <c r="B164" s="76" t="n">
        <v>111.8615</v>
      </c>
      <c r="C164" s="77" t="n">
        <v>6000.3599</v>
      </c>
      <c r="D164" s="45" t="n">
        <f aca="false">B164/B163-1</f>
        <v>0.0172602727268594</v>
      </c>
      <c r="E164" s="45" t="n">
        <f aca="false">C164/C163-1</f>
        <v>0.0102806899897527</v>
      </c>
      <c r="F164" s="35"/>
      <c r="G164" s="35"/>
      <c r="H164" s="33"/>
      <c r="I164" s="33"/>
      <c r="J164" s="33"/>
      <c r="K164" s="33"/>
      <c r="L164" s="33"/>
    </row>
    <row r="165" customFormat="false" ht="15" hidden="false" customHeight="false" outlineLevel="0" collapsed="false">
      <c r="A165" s="36" t="s">
        <v>665</v>
      </c>
      <c r="B165" s="76" t="n">
        <v>112.3237</v>
      </c>
      <c r="C165" s="77" t="n">
        <v>6005.8799</v>
      </c>
      <c r="D165" s="45" t="n">
        <f aca="false">B165/B164-1</f>
        <v>0.00413189524545965</v>
      </c>
      <c r="E165" s="45" t="n">
        <f aca="false">C165/C164-1</f>
        <v>0.000919944818643215</v>
      </c>
      <c r="F165" s="35"/>
      <c r="G165" s="35"/>
      <c r="H165" s="33"/>
      <c r="I165" s="33"/>
      <c r="J165" s="33"/>
      <c r="K165" s="33"/>
      <c r="L165" s="33"/>
    </row>
    <row r="166" customFormat="false" ht="15" hidden="false" customHeight="false" outlineLevel="0" collapsed="false">
      <c r="A166" s="36" t="s">
        <v>666</v>
      </c>
      <c r="B166" s="76" t="n">
        <v>111.3698</v>
      </c>
      <c r="C166" s="77" t="n">
        <v>6038.8101</v>
      </c>
      <c r="D166" s="45" t="n">
        <f aca="false">B166/B165-1</f>
        <v>-0.00849241967634618</v>
      </c>
      <c r="E166" s="45" t="n">
        <f aca="false">C166/C165-1</f>
        <v>0.00548299342449377</v>
      </c>
      <c r="F166" s="35"/>
      <c r="G166" s="35"/>
      <c r="H166" s="33"/>
      <c r="I166" s="33"/>
      <c r="J166" s="33"/>
      <c r="K166" s="33"/>
      <c r="L166" s="33"/>
    </row>
    <row r="167" customFormat="false" ht="15" hidden="false" customHeight="false" outlineLevel="0" collapsed="false">
      <c r="A167" s="36" t="s">
        <v>667</v>
      </c>
      <c r="B167" s="76" t="n">
        <v>109.3931</v>
      </c>
      <c r="C167" s="77" t="n">
        <v>6022.2402</v>
      </c>
      <c r="D167" s="45" t="n">
        <f aca="false">B167/B166-1</f>
        <v>-0.0177489768321394</v>
      </c>
      <c r="E167" s="45" t="n">
        <f aca="false">C167/C166-1</f>
        <v>-0.0027439014848305</v>
      </c>
      <c r="F167" s="35"/>
      <c r="G167" s="35"/>
      <c r="H167" s="33"/>
      <c r="I167" s="33"/>
      <c r="J167" s="33"/>
      <c r="K167" s="33"/>
      <c r="L167" s="33"/>
    </row>
    <row r="168" customFormat="false" ht="15" hidden="false" customHeight="false" outlineLevel="0" collapsed="false">
      <c r="A168" s="36" t="s">
        <v>668</v>
      </c>
      <c r="B168" s="76" t="n">
        <v>111.5173</v>
      </c>
      <c r="C168" s="77" t="n">
        <v>6045.2598</v>
      </c>
      <c r="D168" s="45" t="n">
        <f aca="false">B168/B167-1</f>
        <v>0.0194180437340199</v>
      </c>
      <c r="E168" s="45" t="n">
        <f aca="false">C168/C167-1</f>
        <v>0.00382243139355354</v>
      </c>
      <c r="F168" s="35"/>
      <c r="G168" s="35"/>
      <c r="H168" s="33"/>
      <c r="I168" s="33"/>
      <c r="J168" s="33"/>
      <c r="K168" s="33"/>
      <c r="L168" s="33"/>
    </row>
    <row r="169" customFormat="false" ht="15" hidden="false" customHeight="false" outlineLevel="0" collapsed="false">
      <c r="A169" s="36" t="s">
        <v>669</v>
      </c>
      <c r="B169" s="76" t="n">
        <v>107.741</v>
      </c>
      <c r="C169" s="77" t="n">
        <v>5976.9702</v>
      </c>
      <c r="D169" s="45" t="n">
        <f aca="false">B169/B168-1</f>
        <v>-0.0338629073695292</v>
      </c>
      <c r="E169" s="45" t="n">
        <f aca="false">C169/C168-1</f>
        <v>-0.0112963879567261</v>
      </c>
      <c r="F169" s="35"/>
      <c r="G169" s="35"/>
      <c r="H169" s="33"/>
      <c r="I169" s="33"/>
      <c r="J169" s="33"/>
      <c r="K169" s="33"/>
      <c r="L169" s="33"/>
    </row>
    <row r="170" customFormat="false" ht="15" hidden="false" customHeight="false" outlineLevel="0" collapsed="false">
      <c r="A170" s="36" t="s">
        <v>670</v>
      </c>
      <c r="B170" s="76" t="n">
        <v>111.8516</v>
      </c>
      <c r="C170" s="77" t="n">
        <v>6033.1099</v>
      </c>
      <c r="D170" s="45" t="n">
        <f aca="false">B170/B169-1</f>
        <v>0.0381526067142499</v>
      </c>
      <c r="E170" s="45" t="n">
        <f aca="false">C170/C169-1</f>
        <v>0.00939266854634813</v>
      </c>
      <c r="F170" s="35"/>
      <c r="G170" s="35"/>
      <c r="H170" s="33"/>
      <c r="I170" s="33"/>
      <c r="J170" s="33"/>
      <c r="K170" s="33"/>
      <c r="L170" s="33"/>
    </row>
    <row r="171" customFormat="false" ht="15" hidden="false" customHeight="false" outlineLevel="0" collapsed="false">
      <c r="A171" s="36" t="s">
        <v>671</v>
      </c>
      <c r="B171" s="76" t="n">
        <v>114.0053</v>
      </c>
      <c r="C171" s="77" t="n">
        <v>5982.7202</v>
      </c>
      <c r="D171" s="45" t="n">
        <f aca="false">B171/B170-1</f>
        <v>0.019254977130412</v>
      </c>
      <c r="E171" s="45" t="n">
        <f aca="false">C171/C170-1</f>
        <v>-0.00835219328592052</v>
      </c>
      <c r="F171" s="35"/>
      <c r="G171" s="35"/>
      <c r="H171" s="33"/>
      <c r="I171" s="33"/>
      <c r="J171" s="33"/>
      <c r="K171" s="33"/>
      <c r="L171" s="33"/>
    </row>
    <row r="172" customFormat="false" ht="15" hidden="false" customHeight="false" outlineLevel="0" collapsed="false">
      <c r="A172" s="36" t="s">
        <v>672</v>
      </c>
      <c r="B172" s="76" t="n">
        <v>114.6248</v>
      </c>
      <c r="C172" s="77" t="n">
        <v>5980.8701</v>
      </c>
      <c r="D172" s="45" t="n">
        <f aca="false">B172/B171-1</f>
        <v>0.00543395789493983</v>
      </c>
      <c r="E172" s="45" t="n">
        <f aca="false">C172/C171-1</f>
        <v>-0.000309240602627492</v>
      </c>
      <c r="F172" s="35"/>
      <c r="G172" s="35"/>
      <c r="H172" s="33"/>
      <c r="I172" s="33"/>
      <c r="J172" s="33"/>
      <c r="K172" s="33"/>
      <c r="L172" s="33"/>
    </row>
    <row r="173" customFormat="false" ht="15" hidden="false" customHeight="false" outlineLevel="0" collapsed="false">
      <c r="A173" s="36" t="s">
        <v>673</v>
      </c>
      <c r="B173" s="76" t="n">
        <v>117.3882</v>
      </c>
      <c r="C173" s="77" t="n">
        <v>5967.8398</v>
      </c>
      <c r="D173" s="45" t="n">
        <f aca="false">B173/B172-1</f>
        <v>0.0241082209085644</v>
      </c>
      <c r="E173" s="45" t="n">
        <f aca="false">C173/C172-1</f>
        <v>-0.00217866293401026</v>
      </c>
      <c r="F173" s="35"/>
      <c r="G173" s="35"/>
      <c r="H173" s="33"/>
      <c r="I173" s="33"/>
      <c r="J173" s="33"/>
      <c r="K173" s="33"/>
      <c r="L173" s="33"/>
    </row>
    <row r="174" customFormat="false" ht="15" hidden="false" customHeight="false" outlineLevel="0" collapsed="false">
      <c r="A174" s="36" t="s">
        <v>674</v>
      </c>
      <c r="B174" s="76" t="n">
        <v>116.0606</v>
      </c>
      <c r="C174" s="77" t="n">
        <v>6025.1699</v>
      </c>
      <c r="D174" s="45" t="n">
        <f aca="false">B174/B173-1</f>
        <v>-0.0113094842582134</v>
      </c>
      <c r="E174" s="45" t="n">
        <f aca="false">C174/C173-1</f>
        <v>0.0096065078690617</v>
      </c>
      <c r="F174" s="35"/>
      <c r="G174" s="35"/>
      <c r="H174" s="33"/>
      <c r="I174" s="33"/>
      <c r="J174" s="33"/>
      <c r="K174" s="33"/>
      <c r="L174" s="33"/>
    </row>
    <row r="175" customFormat="false" ht="15" hidden="false" customHeight="false" outlineLevel="0" collapsed="false">
      <c r="A175" s="36" t="s">
        <v>675</v>
      </c>
      <c r="B175" s="76" t="n">
        <v>118.5879</v>
      </c>
      <c r="C175" s="77" t="n">
        <v>6092.1802</v>
      </c>
      <c r="D175" s="45" t="n">
        <f aca="false">B175/B174-1</f>
        <v>0.0217756930431172</v>
      </c>
      <c r="E175" s="45" t="n">
        <f aca="false">C175/C174-1</f>
        <v>0.0111217278702795</v>
      </c>
      <c r="F175" s="35"/>
      <c r="G175" s="35"/>
      <c r="H175" s="33"/>
      <c r="I175" s="33"/>
      <c r="J175" s="33"/>
      <c r="K175" s="33"/>
      <c r="L175" s="33"/>
    </row>
    <row r="176" customFormat="false" ht="15" hidden="false" customHeight="false" outlineLevel="0" collapsed="false">
      <c r="A176" s="36" t="s">
        <v>676</v>
      </c>
      <c r="B176" s="76" t="n">
        <v>118.4601</v>
      </c>
      <c r="C176" s="77" t="n">
        <v>6092.1602</v>
      </c>
      <c r="D176" s="45" t="n">
        <f aca="false">B176/B175-1</f>
        <v>-0.00107768161844513</v>
      </c>
      <c r="E176" s="45" t="n">
        <f aca="false">C176/C175-1</f>
        <v>-3.28289698314777E-006</v>
      </c>
      <c r="F176" s="35"/>
      <c r="G176" s="35"/>
      <c r="H176" s="33"/>
      <c r="I176" s="33"/>
      <c r="J176" s="33"/>
      <c r="K176" s="33"/>
      <c r="L176" s="33"/>
    </row>
    <row r="177" customFormat="false" ht="15" hidden="false" customHeight="false" outlineLevel="0" collapsed="false">
      <c r="A177" s="36" t="s">
        <v>677</v>
      </c>
      <c r="B177" s="76" t="n">
        <v>123.8884</v>
      </c>
      <c r="C177" s="77" t="n">
        <v>6141.02</v>
      </c>
      <c r="D177" s="45" t="n">
        <f aca="false">B177/B176-1</f>
        <v>0.0458238681209962</v>
      </c>
      <c r="E177" s="45" t="n">
        <f aca="false">C177/C176-1</f>
        <v>0.00802011083030951</v>
      </c>
      <c r="F177" s="35"/>
      <c r="G177" s="35"/>
      <c r="H177" s="33"/>
      <c r="I177" s="33"/>
      <c r="J177" s="33"/>
      <c r="K177" s="33"/>
      <c r="L177" s="33"/>
    </row>
    <row r="178" customFormat="false" ht="15" hidden="false" customHeight="false" outlineLevel="0" collapsed="false">
      <c r="A178" s="36" t="s">
        <v>678</v>
      </c>
      <c r="B178" s="76" t="n">
        <v>121.9314</v>
      </c>
      <c r="C178" s="77" t="n">
        <v>6173.0698</v>
      </c>
      <c r="D178" s="45" t="n">
        <f aca="false">B178/B177-1</f>
        <v>-0.0157964748919189</v>
      </c>
      <c r="E178" s="45" t="n">
        <f aca="false">C178/C177-1</f>
        <v>0.00521897013851125</v>
      </c>
      <c r="F178" s="35"/>
      <c r="G178" s="35"/>
      <c r="H178" s="33"/>
      <c r="I178" s="33"/>
      <c r="J178" s="33"/>
      <c r="K178" s="33"/>
      <c r="L178" s="33"/>
    </row>
    <row r="179" customFormat="false" ht="15" hidden="false" customHeight="false" outlineLevel="0" collapsed="false">
      <c r="A179" s="36" t="s">
        <v>679</v>
      </c>
      <c r="B179" s="76" t="n">
        <v>120.5645</v>
      </c>
      <c r="C179" s="77" t="n">
        <v>6204.9502</v>
      </c>
      <c r="D179" s="45" t="n">
        <f aca="false">B179/B178-1</f>
        <v>-0.0112104019145192</v>
      </c>
      <c r="E179" s="45" t="n">
        <f aca="false">C179/C178-1</f>
        <v>0.00516443212743201</v>
      </c>
      <c r="F179" s="35"/>
      <c r="G179" s="35"/>
      <c r="H179" s="33"/>
      <c r="I179" s="33"/>
      <c r="J179" s="33"/>
      <c r="K179" s="33"/>
      <c r="L179" s="33"/>
    </row>
    <row r="180" customFormat="false" ht="15" hidden="false" customHeight="false" outlineLevel="0" collapsed="false">
      <c r="A180" s="36" t="s">
        <v>680</v>
      </c>
      <c r="B180" s="76" t="n">
        <v>119.709</v>
      </c>
      <c r="C180" s="77" t="n">
        <v>6198.0098</v>
      </c>
      <c r="D180" s="45" t="n">
        <f aca="false">B180/B179-1</f>
        <v>-0.00709578690244639</v>
      </c>
      <c r="E180" s="45" t="n">
        <f aca="false">C180/C179-1</f>
        <v>-0.00111852630179055</v>
      </c>
      <c r="F180" s="35"/>
      <c r="G180" s="35"/>
      <c r="H180" s="33"/>
      <c r="I180" s="33"/>
      <c r="J180" s="33"/>
      <c r="K180" s="33"/>
      <c r="L180" s="33"/>
    </row>
    <row r="181" customFormat="false" ht="15" hidden="false" customHeight="false" outlineLevel="0" collapsed="false">
      <c r="A181" s="36" t="s">
        <v>681</v>
      </c>
      <c r="B181" s="76" t="n">
        <v>121.4299</v>
      </c>
      <c r="C181" s="77" t="n">
        <v>6227.4199</v>
      </c>
      <c r="D181" s="45" t="n">
        <f aca="false">B181/B180-1</f>
        <v>0.0143756943922344</v>
      </c>
      <c r="E181" s="45" t="n">
        <f aca="false">C181/C180-1</f>
        <v>0.00474508768927739</v>
      </c>
      <c r="F181" s="35"/>
      <c r="G181" s="35"/>
      <c r="H181" s="33"/>
      <c r="I181" s="33"/>
      <c r="J181" s="33"/>
      <c r="K181" s="33"/>
      <c r="L181" s="33"/>
    </row>
    <row r="182" customFormat="false" ht="15" hidden="false" customHeight="false" outlineLevel="0" collapsed="false">
      <c r="A182" s="36" t="s">
        <v>682</v>
      </c>
      <c r="B182" s="76" t="n">
        <v>123.141</v>
      </c>
      <c r="C182" s="77" t="n">
        <v>6279.3501</v>
      </c>
      <c r="D182" s="45" t="n">
        <f aca="false">B182/B181-1</f>
        <v>0.0140912575897698</v>
      </c>
      <c r="E182" s="45" t="n">
        <f aca="false">C182/C181-1</f>
        <v>0.00833895912494986</v>
      </c>
      <c r="F182" s="35"/>
      <c r="G182" s="35"/>
      <c r="H182" s="33"/>
      <c r="I182" s="33"/>
      <c r="J182" s="33"/>
      <c r="K182" s="33"/>
      <c r="L182" s="33"/>
    </row>
    <row r="183" customFormat="false" ht="15" hidden="false" customHeight="false" outlineLevel="0" collapsed="false">
      <c r="A183" s="36" t="s">
        <v>683</v>
      </c>
      <c r="B183" s="76" t="n">
        <v>122.6985</v>
      </c>
      <c r="C183" s="77" t="n">
        <v>6229.98</v>
      </c>
      <c r="D183" s="45" t="n">
        <f aca="false">B183/B182-1</f>
        <v>-0.00359344166443354</v>
      </c>
      <c r="E183" s="45" t="n">
        <f aca="false">C183/C182-1</f>
        <v>-0.00786229453904797</v>
      </c>
      <c r="F183" s="35"/>
      <c r="G183" s="35"/>
      <c r="H183" s="33"/>
      <c r="I183" s="33"/>
      <c r="J183" s="33"/>
      <c r="K183" s="33"/>
      <c r="L183" s="33"/>
    </row>
    <row r="184" customFormat="false" ht="15" hidden="false" customHeight="false" outlineLevel="0" collapsed="false">
      <c r="A184" s="36" t="s">
        <v>684</v>
      </c>
      <c r="B184" s="76" t="n">
        <v>122.3248</v>
      </c>
      <c r="C184" s="77" t="n">
        <v>6225.52</v>
      </c>
      <c r="D184" s="45" t="n">
        <f aca="false">B184/B183-1</f>
        <v>-0.00304567700501635</v>
      </c>
      <c r="E184" s="45" t="n">
        <f aca="false">C184/C183-1</f>
        <v>-0.000715893148934499</v>
      </c>
      <c r="F184" s="35"/>
      <c r="G184" s="35"/>
      <c r="H184" s="33"/>
      <c r="I184" s="33"/>
      <c r="J184" s="33"/>
      <c r="K184" s="33"/>
      <c r="L184" s="33"/>
    </row>
    <row r="185" customFormat="false" ht="15" hidden="false" customHeight="false" outlineLevel="0" collapsed="false">
      <c r="A185" s="36" t="s">
        <v>685</v>
      </c>
      <c r="B185" s="76" t="n">
        <v>124.5276</v>
      </c>
      <c r="C185" s="77" t="n">
        <v>6263.2598</v>
      </c>
      <c r="D185" s="45" t="n">
        <f aca="false">B185/B184-1</f>
        <v>0.0180077956391509</v>
      </c>
      <c r="E185" s="45" t="n">
        <f aca="false">C185/C184-1</f>
        <v>0.00606211208059726</v>
      </c>
      <c r="F185" s="35"/>
      <c r="G185" s="35"/>
      <c r="H185" s="33"/>
      <c r="I185" s="33"/>
      <c r="J185" s="33"/>
      <c r="K185" s="33"/>
      <c r="L185" s="33"/>
    </row>
    <row r="186" customFormat="false" ht="15" hidden="false" customHeight="false" outlineLevel="0" collapsed="false">
      <c r="A186" s="36" t="s">
        <v>686</v>
      </c>
      <c r="B186" s="76" t="n">
        <v>125.7864</v>
      </c>
      <c r="C186" s="77" t="n">
        <v>6280.46</v>
      </c>
      <c r="D186" s="45" t="n">
        <f aca="false">B186/B185-1</f>
        <v>0.0101086024303045</v>
      </c>
      <c r="E186" s="45" t="n">
        <f aca="false">C186/C185-1</f>
        <v>0.00274620573778539</v>
      </c>
      <c r="F186" s="35"/>
      <c r="G186" s="35"/>
      <c r="H186" s="33"/>
      <c r="I186" s="33"/>
      <c r="J186" s="33"/>
      <c r="K186" s="33"/>
      <c r="L186" s="33"/>
    </row>
    <row r="187" customFormat="false" ht="15" hidden="false" customHeight="false" outlineLevel="0" collapsed="false">
      <c r="A187" s="36" t="s">
        <v>687</v>
      </c>
      <c r="B187" s="76" t="n">
        <v>124.7243</v>
      </c>
      <c r="C187" s="77" t="n">
        <v>6259.75</v>
      </c>
      <c r="D187" s="45" t="n">
        <f aca="false">B187/B186-1</f>
        <v>-0.00844367912588329</v>
      </c>
      <c r="E187" s="45" t="n">
        <f aca="false">C187/C186-1</f>
        <v>-0.00329752916187664</v>
      </c>
      <c r="F187" s="35"/>
      <c r="G187" s="35"/>
      <c r="H187" s="33"/>
      <c r="I187" s="33"/>
      <c r="J187" s="33"/>
      <c r="K187" s="33"/>
      <c r="L187" s="33"/>
    </row>
    <row r="188" customFormat="false" ht="15" hidden="false" customHeight="false" outlineLevel="0" collapsed="false">
      <c r="A188" s="36" t="s">
        <v>688</v>
      </c>
      <c r="B188" s="76" t="n">
        <v>123.5836</v>
      </c>
      <c r="C188" s="77" t="n">
        <v>6268.5601</v>
      </c>
      <c r="D188" s="45" t="n">
        <f aca="false">B188/B187-1</f>
        <v>-0.0091457719145347</v>
      </c>
      <c r="E188" s="45" t="n">
        <f aca="false">C188/C187-1</f>
        <v>0.00140742042413833</v>
      </c>
      <c r="F188" s="35"/>
      <c r="G188" s="35"/>
      <c r="H188" s="33"/>
      <c r="I188" s="33"/>
      <c r="J188" s="33"/>
      <c r="K188" s="33"/>
      <c r="L188" s="33"/>
    </row>
    <row r="189" customFormat="false" ht="15" hidden="false" customHeight="false" outlineLevel="0" collapsed="false">
      <c r="A189" s="36" t="s">
        <v>689</v>
      </c>
      <c r="B189" s="76" t="n">
        <v>123.6032</v>
      </c>
      <c r="C189" s="77" t="n">
        <v>6243.7598</v>
      </c>
      <c r="D189" s="45" t="n">
        <f aca="false">B189/B188-1</f>
        <v>0.000158597095407442</v>
      </c>
      <c r="E189" s="45" t="n">
        <f aca="false">C189/C188-1</f>
        <v>-0.00395629931026742</v>
      </c>
      <c r="F189" s="35"/>
      <c r="G189" s="35"/>
      <c r="H189" s="33"/>
      <c r="I189" s="33"/>
      <c r="J189" s="33"/>
      <c r="K189" s="33"/>
      <c r="L189" s="33"/>
    </row>
    <row r="190" customFormat="false" ht="15" hidden="false" customHeight="false" outlineLevel="0" collapsed="false">
      <c r="A190" s="36" t="s">
        <v>690</v>
      </c>
      <c r="B190" s="76" t="n">
        <v>121.5184</v>
      </c>
      <c r="C190" s="77" t="n">
        <v>6263.7002</v>
      </c>
      <c r="D190" s="45" t="n">
        <f aca="false">B190/B189-1</f>
        <v>-0.0168668772329519</v>
      </c>
      <c r="E190" s="45" t="n">
        <f aca="false">C190/C189-1</f>
        <v>0.00319365264499782</v>
      </c>
      <c r="F190" s="35"/>
      <c r="G190" s="35"/>
      <c r="H190" s="33"/>
      <c r="I190" s="33"/>
      <c r="J190" s="33"/>
      <c r="K190" s="33"/>
      <c r="L190" s="33"/>
    </row>
    <row r="191" customFormat="false" ht="15" hidden="false" customHeight="false" outlineLevel="0" collapsed="false">
      <c r="A191" s="36" t="s">
        <v>691</v>
      </c>
      <c r="B191" s="76" t="n">
        <v>121.8233</v>
      </c>
      <c r="C191" s="77" t="n">
        <v>6297.3599</v>
      </c>
      <c r="D191" s="45" t="n">
        <f aca="false">B191/B190-1</f>
        <v>0.00250908504391112</v>
      </c>
      <c r="E191" s="45" t="n">
        <f aca="false">C191/C190-1</f>
        <v>0.00537377251867843</v>
      </c>
      <c r="F191" s="35"/>
      <c r="G191" s="35"/>
      <c r="H191" s="33"/>
      <c r="I191" s="33"/>
      <c r="J191" s="33"/>
      <c r="K191" s="33"/>
      <c r="L191" s="33"/>
    </row>
    <row r="192" customFormat="false" ht="15" hidden="false" customHeight="false" outlineLevel="0" collapsed="false">
      <c r="A192" s="36" t="s">
        <v>692</v>
      </c>
      <c r="B192" s="76" t="n">
        <v>129.0611</v>
      </c>
      <c r="C192" s="77" t="n">
        <v>6296.79</v>
      </c>
      <c r="D192" s="45" t="n">
        <f aca="false">B192/B191-1</f>
        <v>0.0594122799168961</v>
      </c>
      <c r="E192" s="45" t="n">
        <f aca="false">C192/C191-1</f>
        <v>-9.04982419697165E-005</v>
      </c>
      <c r="F192" s="35"/>
      <c r="G192" s="35"/>
      <c r="H192" s="33"/>
      <c r="I192" s="33"/>
      <c r="J192" s="33"/>
      <c r="K192" s="33"/>
      <c r="L192" s="33"/>
    </row>
    <row r="193" customFormat="false" ht="15" hidden="false" customHeight="false" outlineLevel="0" collapsed="false">
      <c r="A193" s="36" t="s">
        <v>693</v>
      </c>
      <c r="B193" s="76" t="n">
        <v>126.819</v>
      </c>
      <c r="C193" s="77" t="n">
        <v>6305.6001</v>
      </c>
      <c r="D193" s="45" t="n">
        <f aca="false">B193/B192-1</f>
        <v>-0.0173723918361149</v>
      </c>
      <c r="E193" s="45" t="n">
        <f aca="false">C193/C192-1</f>
        <v>0.00139914146731912</v>
      </c>
      <c r="F193" s="35"/>
      <c r="G193" s="35"/>
      <c r="H193" s="33"/>
      <c r="I193" s="33"/>
      <c r="J193" s="33"/>
      <c r="K193" s="33"/>
      <c r="L193" s="33"/>
    </row>
    <row r="194" customFormat="false" ht="15" hidden="false" customHeight="false" outlineLevel="0" collapsed="false">
      <c r="A194" s="36" t="s">
        <v>694</v>
      </c>
      <c r="B194" s="76" t="n">
        <v>122.7656</v>
      </c>
      <c r="C194" s="77" t="n">
        <v>6309.6201</v>
      </c>
      <c r="D194" s="45" t="n">
        <f aca="false">B194/B193-1</f>
        <v>-0.0319620876997926</v>
      </c>
      <c r="E194" s="45" t="n">
        <f aca="false">C194/C193-1</f>
        <v>0.000637528535943899</v>
      </c>
      <c r="F194" s="35"/>
      <c r="G194" s="35"/>
      <c r="H194" s="33"/>
      <c r="I194" s="33"/>
      <c r="J194" s="33"/>
      <c r="K194" s="33"/>
      <c r="L194" s="33"/>
    </row>
    <row r="195" customFormat="false" ht="15" hidden="false" customHeight="false" outlineLevel="0" collapsed="false">
      <c r="A195" s="36" t="s">
        <v>695</v>
      </c>
      <c r="B195" s="76" t="n">
        <v>125.6192</v>
      </c>
      <c r="C195" s="77" t="n">
        <v>6358.9102</v>
      </c>
      <c r="D195" s="45" t="n">
        <f aca="false">B195/B194-1</f>
        <v>0.023244296447865</v>
      </c>
      <c r="E195" s="45" t="n">
        <f aca="false">C195/C194-1</f>
        <v>0.00781189663067039</v>
      </c>
      <c r="F195" s="35"/>
      <c r="G195" s="35"/>
      <c r="H195" s="33"/>
      <c r="I195" s="33"/>
      <c r="J195" s="33"/>
      <c r="K195" s="33"/>
      <c r="L195" s="33"/>
    </row>
    <row r="196" customFormat="false" ht="15" hidden="false" customHeight="false" outlineLevel="0" collapsed="false">
      <c r="A196" s="36" t="s">
        <v>696</v>
      </c>
      <c r="B196" s="76" t="n">
        <v>126.735</v>
      </c>
      <c r="C196" s="77" t="n">
        <v>6363.3501</v>
      </c>
      <c r="D196" s="45" t="n">
        <f aca="false">B196/B195-1</f>
        <v>0.00888240014265329</v>
      </c>
      <c r="E196" s="45" t="n">
        <f aca="false">C196/C195-1</f>
        <v>0.000698217125318035</v>
      </c>
      <c r="F196" s="35"/>
      <c r="G196" s="35"/>
      <c r="H196" s="33"/>
      <c r="I196" s="33"/>
      <c r="J196" s="33"/>
      <c r="K196" s="33"/>
      <c r="L196" s="33"/>
    </row>
    <row r="197" customFormat="false" ht="15" hidden="false" customHeight="false" outlineLevel="0" collapsed="false">
      <c r="A197" s="36" t="s">
        <v>697</v>
      </c>
      <c r="B197" s="76" t="n">
        <v>129.5689</v>
      </c>
      <c r="C197" s="77" t="n">
        <v>6388.6401</v>
      </c>
      <c r="D197" s="45" t="n">
        <f aca="false">B197/B196-1</f>
        <v>0.0223608316566064</v>
      </c>
      <c r="E197" s="45" t="n">
        <f aca="false">C197/C196-1</f>
        <v>0.003974321639163</v>
      </c>
      <c r="F197" s="35"/>
      <c r="G197" s="35"/>
      <c r="H197" s="33"/>
      <c r="I197" s="33"/>
      <c r="J197" s="33"/>
      <c r="K197" s="33"/>
      <c r="L197" s="33"/>
    </row>
    <row r="198" customFormat="false" ht="15" hidden="false" customHeight="false" outlineLevel="0" collapsed="false">
      <c r="A198" s="36" t="s">
        <v>698</v>
      </c>
      <c r="B198" s="76" t="n">
        <v>132.1757</v>
      </c>
      <c r="C198" s="77" t="n">
        <v>6389.77</v>
      </c>
      <c r="D198" s="45" t="n">
        <f aca="false">B198/B197-1</f>
        <v>0.0201190254760208</v>
      </c>
      <c r="E198" s="45" t="n">
        <f aca="false">C198/C197-1</f>
        <v>0.000176860800156886</v>
      </c>
      <c r="F198" s="35"/>
      <c r="G198" s="35"/>
      <c r="H198" s="33"/>
      <c r="I198" s="33"/>
      <c r="J198" s="33"/>
      <c r="K198" s="33"/>
      <c r="L198" s="33"/>
    </row>
    <row r="199" customFormat="false" ht="15" hidden="false" customHeight="false" outlineLevel="0" collapsed="false">
      <c r="A199" s="36" t="s">
        <v>699</v>
      </c>
      <c r="B199" s="76" t="n">
        <v>131.8301</v>
      </c>
      <c r="C199" s="77" t="n">
        <v>6370.8599</v>
      </c>
      <c r="D199" s="45" t="n">
        <f aca="false">B199/B198-1</f>
        <v>-0.00261470149202936</v>
      </c>
      <c r="E199" s="45" t="n">
        <f aca="false">C199/C198-1</f>
        <v>-0.00295943359463646</v>
      </c>
      <c r="F199" s="35"/>
      <c r="G199" s="35"/>
      <c r="H199" s="33"/>
      <c r="I199" s="33"/>
      <c r="J199" s="33"/>
      <c r="K199" s="33"/>
      <c r="L199" s="33"/>
    </row>
    <row r="200" customFormat="false" ht="15" hidden="false" customHeight="false" outlineLevel="0" collapsed="false">
      <c r="A200" s="36" t="s">
        <v>700</v>
      </c>
      <c r="B200" s="76" t="n">
        <v>131.8597</v>
      </c>
      <c r="C200" s="77" t="n">
        <v>6362.8999</v>
      </c>
      <c r="D200" s="45" t="n">
        <f aca="false">B200/B199-1</f>
        <v>0.000224531423400398</v>
      </c>
      <c r="E200" s="45" t="n">
        <f aca="false">C200/C199-1</f>
        <v>-0.00124943887088147</v>
      </c>
      <c r="F200" s="35"/>
      <c r="G200" s="35"/>
      <c r="H200" s="33"/>
      <c r="I200" s="33"/>
      <c r="J200" s="33"/>
      <c r="K200" s="33"/>
      <c r="L200" s="33"/>
    </row>
    <row r="201" customFormat="false" ht="15" hidden="false" customHeight="false" outlineLevel="0" collapsed="false">
      <c r="A201" s="36" t="s">
        <v>701</v>
      </c>
      <c r="B201" s="76" t="n">
        <v>131.0204</v>
      </c>
      <c r="C201" s="77" t="n">
        <v>6339.3901</v>
      </c>
      <c r="D201" s="45" t="n">
        <f aca="false">B201/B200-1</f>
        <v>-0.00636509866168367</v>
      </c>
      <c r="E201" s="45" t="n">
        <f aca="false">C201/C200-1</f>
        <v>-0.003694824744925</v>
      </c>
      <c r="F201" s="35"/>
      <c r="G201" s="35"/>
      <c r="H201" s="33"/>
      <c r="I201" s="33"/>
      <c r="J201" s="33"/>
      <c r="K201" s="33"/>
      <c r="L201" s="33"/>
    </row>
    <row r="202" customFormat="false" ht="15" hidden="false" customHeight="false" outlineLevel="0" collapsed="false">
      <c r="A202" s="36" t="s">
        <v>702</v>
      </c>
      <c r="B202" s="76" t="n">
        <v>125.718</v>
      </c>
      <c r="C202" s="77" t="n">
        <v>6238.0098</v>
      </c>
      <c r="D202" s="45" t="n">
        <f aca="false">B202/B201-1</f>
        <v>-0.0404700336741454</v>
      </c>
      <c r="E202" s="45" t="n">
        <f aca="false">C202/C201-1</f>
        <v>-0.0159921220181734</v>
      </c>
      <c r="F202" s="35"/>
      <c r="G202" s="35"/>
      <c r="H202" s="33"/>
      <c r="I202" s="33"/>
      <c r="J202" s="33"/>
      <c r="K202" s="33"/>
      <c r="L202" s="33"/>
    </row>
    <row r="203" customFormat="false" ht="15" hidden="false" customHeight="false" outlineLevel="0" collapsed="false">
      <c r="A203" s="36" t="s">
        <v>703</v>
      </c>
      <c r="B203" s="76" t="n">
        <v>128.5914</v>
      </c>
      <c r="C203" s="77" t="n">
        <v>6329.9399</v>
      </c>
      <c r="D203" s="45" t="n">
        <f aca="false">B203/B202-1</f>
        <v>0.0228559156206747</v>
      </c>
      <c r="E203" s="45" t="n">
        <f aca="false">C203/C202-1</f>
        <v>0.0147370881014006</v>
      </c>
      <c r="F203" s="35"/>
      <c r="G203" s="35"/>
      <c r="H203" s="33"/>
      <c r="I203" s="33"/>
      <c r="J203" s="33"/>
      <c r="K203" s="33"/>
      <c r="L203" s="33"/>
    </row>
    <row r="204" customFormat="false" ht="15" hidden="false" customHeight="false" outlineLevel="0" collapsed="false">
      <c r="A204" s="36" t="s">
        <v>704</v>
      </c>
      <c r="B204" s="76" t="n">
        <v>128.8382</v>
      </c>
      <c r="C204" s="77" t="n">
        <v>6299.1899</v>
      </c>
      <c r="D204" s="45" t="n">
        <f aca="false">B204/B203-1</f>
        <v>0.00191925743090127</v>
      </c>
      <c r="E204" s="45" t="n">
        <f aca="false">C204/C203-1</f>
        <v>-0.00485786602808025</v>
      </c>
      <c r="F204" s="35"/>
      <c r="G204" s="35"/>
      <c r="H204" s="33"/>
      <c r="I204" s="33"/>
      <c r="J204" s="33"/>
      <c r="K204" s="33"/>
      <c r="L204" s="33"/>
    </row>
    <row r="205" customFormat="false" ht="15" hidden="false" customHeight="false" outlineLevel="0" collapsed="false">
      <c r="A205" s="36" t="s">
        <v>705</v>
      </c>
      <c r="B205" s="76" t="n">
        <v>126.5277</v>
      </c>
      <c r="C205" s="77" t="n">
        <v>6345.0601</v>
      </c>
      <c r="D205" s="45" t="n">
        <f aca="false">B205/B204-1</f>
        <v>-0.0179333458554994</v>
      </c>
      <c r="E205" s="45" t="n">
        <f aca="false">C205/C204-1</f>
        <v>0.00728192048949006</v>
      </c>
      <c r="F205" s="35"/>
      <c r="G205" s="35"/>
      <c r="H205" s="33"/>
      <c r="I205" s="33"/>
      <c r="J205" s="33"/>
      <c r="K205" s="33"/>
      <c r="L205" s="33"/>
    </row>
    <row r="206" customFormat="false" ht="15" hidden="false" customHeight="false" outlineLevel="0" collapsed="false">
      <c r="A206" s="36" t="s">
        <v>706</v>
      </c>
      <c r="B206" s="76" t="n">
        <v>132.2448</v>
      </c>
      <c r="C206" s="77" t="n">
        <v>6340</v>
      </c>
      <c r="D206" s="45" t="n">
        <f aca="false">B206/B205-1</f>
        <v>0.0451845722320092</v>
      </c>
      <c r="E206" s="45" t="n">
        <f aca="false">C206/C205-1</f>
        <v>-0.000797486536021852</v>
      </c>
      <c r="F206" s="35"/>
      <c r="G206" s="35"/>
      <c r="H206" s="33"/>
      <c r="I206" s="33"/>
      <c r="J206" s="33"/>
      <c r="K206" s="33"/>
      <c r="L206" s="33"/>
    </row>
    <row r="207" customFormat="false" ht="15" hidden="false" customHeight="false" outlineLevel="0" collapsed="false">
      <c r="A207" s="36" t="s">
        <v>707</v>
      </c>
      <c r="B207" s="76" t="n">
        <v>135.8785</v>
      </c>
      <c r="C207" s="77" t="n">
        <v>6389.4502</v>
      </c>
      <c r="D207" s="45" t="n">
        <f aca="false">B207/B206-1</f>
        <v>0.0274770728225231</v>
      </c>
      <c r="E207" s="45" t="n">
        <f aca="false">C207/C206-1</f>
        <v>0.00779971608832808</v>
      </c>
      <c r="F207" s="35"/>
      <c r="G207" s="35"/>
      <c r="H207" s="33"/>
      <c r="I207" s="33"/>
      <c r="J207" s="33"/>
      <c r="K207" s="33"/>
      <c r="L207" s="33"/>
    </row>
    <row r="208" customFormat="false" ht="15" hidden="false" customHeight="false" outlineLevel="0" collapsed="false">
      <c r="A208" s="36" t="s">
        <v>708</v>
      </c>
      <c r="B208" s="76" t="n">
        <v>136.5796</v>
      </c>
      <c r="C208" s="77" t="n">
        <v>6373.4502</v>
      </c>
      <c r="D208" s="45" t="n">
        <f aca="false">B208/B207-1</f>
        <v>0.00515975669439972</v>
      </c>
      <c r="E208" s="45" t="n">
        <f aca="false">C208/C207-1</f>
        <v>-0.00250412781994924</v>
      </c>
      <c r="F208" s="35"/>
      <c r="G208" s="35"/>
      <c r="H208" s="33"/>
      <c r="I208" s="33"/>
      <c r="J208" s="33"/>
      <c r="K208" s="33"/>
      <c r="L208" s="33"/>
    </row>
    <row r="209" customFormat="false" ht="15" hidden="false" customHeight="false" outlineLevel="0" collapsed="false">
      <c r="A209" s="36" t="s">
        <v>709</v>
      </c>
      <c r="B209" s="76" t="n">
        <v>139.8578</v>
      </c>
      <c r="C209" s="77" t="n">
        <v>6445.7598</v>
      </c>
      <c r="D209" s="45" t="n">
        <f aca="false">B209/B208-1</f>
        <v>0.0240021203752243</v>
      </c>
      <c r="E209" s="45" t="n">
        <f aca="false">C209/C208-1</f>
        <v>0.0113454404962636</v>
      </c>
      <c r="F209" s="35"/>
      <c r="G209" s="35"/>
      <c r="H209" s="33"/>
      <c r="I209" s="33"/>
      <c r="J209" s="33"/>
      <c r="K209" s="33"/>
      <c r="L209" s="33"/>
    </row>
    <row r="210" customFormat="false" ht="15" hidden="false" customHeight="false" outlineLevel="0" collapsed="false">
      <c r="A210" s="36" t="s">
        <v>710</v>
      </c>
      <c r="B210" s="76" t="n">
        <v>137.3893</v>
      </c>
      <c r="C210" s="77" t="n">
        <v>6466.5801</v>
      </c>
      <c r="D210" s="45" t="n">
        <f aca="false">B210/B209-1</f>
        <v>-0.0176500702856759</v>
      </c>
      <c r="E210" s="45" t="n">
        <f aca="false">C210/C209-1</f>
        <v>0.0032300769259197</v>
      </c>
      <c r="F210" s="35"/>
      <c r="G210" s="35"/>
      <c r="H210" s="33"/>
      <c r="I210" s="33"/>
      <c r="J210" s="33"/>
      <c r="K210" s="33"/>
      <c r="L210" s="33"/>
    </row>
    <row r="211" customFormat="false" ht="15" hidden="false" customHeight="false" outlineLevel="0" collapsed="false">
      <c r="A211" s="36" t="s">
        <v>711</v>
      </c>
      <c r="B211" s="76" t="n">
        <v>137.1128</v>
      </c>
      <c r="C211" s="77" t="n">
        <v>6468.54</v>
      </c>
      <c r="D211" s="45" t="n">
        <f aca="false">B211/B210-1</f>
        <v>-0.00201252936000107</v>
      </c>
      <c r="E211" s="45" t="n">
        <f aca="false">C211/C210-1</f>
        <v>0.000303081376816117</v>
      </c>
      <c r="F211" s="35"/>
      <c r="G211" s="35"/>
      <c r="H211" s="33"/>
      <c r="I211" s="33"/>
      <c r="J211" s="33"/>
      <c r="K211" s="33"/>
      <c r="L211" s="33"/>
    </row>
    <row r="212" customFormat="false" ht="15" hidden="false" customHeight="false" outlineLevel="0" collapsed="false">
      <c r="A212" s="36" t="s">
        <v>712</v>
      </c>
      <c r="B212" s="76" t="n">
        <v>136.5401</v>
      </c>
      <c r="C212" s="77" t="n">
        <v>6449.7998</v>
      </c>
      <c r="D212" s="45" t="n">
        <f aca="false">B212/B211-1</f>
        <v>-0.00417685292693315</v>
      </c>
      <c r="E212" s="45" t="n">
        <f aca="false">C212/C211-1</f>
        <v>-0.00289712980054235</v>
      </c>
      <c r="F212" s="35"/>
      <c r="G212" s="35"/>
      <c r="H212" s="33"/>
      <c r="I212" s="33"/>
      <c r="J212" s="33"/>
      <c r="K212" s="33"/>
      <c r="L212" s="33"/>
    </row>
    <row r="213" customFormat="false" ht="15" hidden="false" customHeight="false" outlineLevel="0" collapsed="false">
      <c r="A213" s="36" t="s">
        <v>713</v>
      </c>
      <c r="B213" s="76" t="n">
        <v>136.392</v>
      </c>
      <c r="C213" s="77" t="n">
        <v>6449.1499</v>
      </c>
      <c r="D213" s="45" t="n">
        <f aca="false">B213/B212-1</f>
        <v>-0.00108466304038157</v>
      </c>
      <c r="E213" s="45" t="n">
        <f aca="false">C213/C212-1</f>
        <v>-0.000100762817475286</v>
      </c>
      <c r="F213" s="35"/>
      <c r="G213" s="35"/>
      <c r="H213" s="33"/>
      <c r="I213" s="33"/>
      <c r="J213" s="33"/>
      <c r="K213" s="33"/>
      <c r="L213" s="33"/>
    </row>
    <row r="214" customFormat="false" ht="15" hidden="false" customHeight="false" outlineLevel="0" collapsed="false">
      <c r="A214" s="36" t="s">
        <v>714</v>
      </c>
      <c r="B214" s="76" t="n">
        <v>133.4988</v>
      </c>
      <c r="C214" s="77" t="n">
        <v>6411.3701</v>
      </c>
      <c r="D214" s="45" t="n">
        <f aca="false">B214/B213-1</f>
        <v>-0.0212123878233328</v>
      </c>
      <c r="E214" s="45" t="n">
        <f aca="false">C214/C213-1</f>
        <v>-0.00585810542254572</v>
      </c>
      <c r="F214" s="35"/>
      <c r="G214" s="35"/>
      <c r="H214" s="33"/>
      <c r="I214" s="33"/>
      <c r="J214" s="33"/>
      <c r="K214" s="33"/>
      <c r="L214" s="33"/>
    </row>
    <row r="215" customFormat="false" ht="15" hidden="false" customHeight="false" outlineLevel="0" collapsed="false">
      <c r="A215" s="36" t="s">
        <v>715</v>
      </c>
      <c r="B215" s="76" t="n">
        <v>126.8634</v>
      </c>
      <c r="C215" s="77" t="n">
        <v>6395.7798</v>
      </c>
      <c r="D215" s="45" t="n">
        <f aca="false">B215/B214-1</f>
        <v>-0.0497038175624049</v>
      </c>
      <c r="E215" s="45" t="n">
        <f aca="false">C215/C214-1</f>
        <v>-0.00243166433333808</v>
      </c>
      <c r="F215" s="35"/>
      <c r="G215" s="35"/>
      <c r="H215" s="33"/>
      <c r="I215" s="33"/>
      <c r="J215" s="33"/>
      <c r="K215" s="33"/>
      <c r="L215" s="33"/>
    </row>
    <row r="216" customFormat="false" ht="15" hidden="false" customHeight="false" outlineLevel="0" collapsed="false">
      <c r="A216" s="36" t="s">
        <v>716</v>
      </c>
      <c r="B216" s="76" t="n">
        <v>126.2216</v>
      </c>
      <c r="C216" s="77" t="n">
        <v>6370.1699</v>
      </c>
      <c r="D216" s="45" t="n">
        <f aca="false">B216/B215-1</f>
        <v>-0.00505898470323196</v>
      </c>
      <c r="E216" s="45" t="n">
        <f aca="false">C216/C215-1</f>
        <v>-0.00400418726110619</v>
      </c>
      <c r="F216" s="35"/>
      <c r="G216" s="35"/>
      <c r="H216" s="33"/>
      <c r="I216" s="33"/>
      <c r="J216" s="33"/>
      <c r="K216" s="33"/>
      <c r="L216" s="33"/>
    </row>
    <row r="217" customFormat="false" ht="15" hidden="false" customHeight="false" outlineLevel="0" collapsed="false">
      <c r="A217" s="36" t="s">
        <v>717</v>
      </c>
      <c r="B217" s="76" t="n">
        <v>129.1937</v>
      </c>
      <c r="C217" s="77" t="n">
        <v>6466.9102</v>
      </c>
      <c r="D217" s="45" t="n">
        <f aca="false">B217/B216-1</f>
        <v>0.0235466829766062</v>
      </c>
      <c r="E217" s="45" t="n">
        <f aca="false">C217/C216-1</f>
        <v>0.0151864552309664</v>
      </c>
      <c r="F217" s="35"/>
      <c r="G217" s="35"/>
      <c r="H217" s="33"/>
      <c r="I217" s="33"/>
      <c r="J217" s="33"/>
      <c r="K217" s="33"/>
      <c r="L217" s="33"/>
    </row>
    <row r="218" customFormat="false" ht="15" hidden="false" customHeight="false" outlineLevel="0" collapsed="false">
      <c r="A218" s="36" t="s">
        <v>718</v>
      </c>
      <c r="B218" s="76" t="n">
        <v>129.3615</v>
      </c>
      <c r="C218" s="77" t="n">
        <v>6439.3198</v>
      </c>
      <c r="D218" s="45" t="n">
        <f aca="false">B218/B217-1</f>
        <v>0.00129882494270239</v>
      </c>
      <c r="E218" s="45" t="n">
        <f aca="false">C218/C217-1</f>
        <v>-0.00426639602943613</v>
      </c>
      <c r="F218" s="35"/>
      <c r="G218" s="35"/>
      <c r="H218" s="33"/>
      <c r="I218" s="33"/>
      <c r="J218" s="33"/>
      <c r="K218" s="33"/>
      <c r="L218" s="33"/>
    </row>
    <row r="219" customFormat="false" ht="15" hidden="false" customHeight="false" outlineLevel="0" collapsed="false">
      <c r="A219" s="36" t="s">
        <v>719</v>
      </c>
      <c r="B219" s="76" t="n">
        <v>129.3418</v>
      </c>
      <c r="C219" s="77" t="n">
        <v>6465.9399</v>
      </c>
      <c r="D219" s="45" t="n">
        <f aca="false">B219/B218-1</f>
        <v>-0.000152286422158032</v>
      </c>
      <c r="E219" s="45" t="n">
        <f aca="false">C219/C218-1</f>
        <v>0.00413399253753477</v>
      </c>
      <c r="F219" s="35"/>
      <c r="G219" s="35"/>
      <c r="H219" s="33"/>
      <c r="I219" s="33"/>
      <c r="J219" s="33"/>
      <c r="K219" s="33"/>
      <c r="L219" s="33"/>
    </row>
    <row r="220" customFormat="false" ht="15" hidden="false" customHeight="false" outlineLevel="0" collapsed="false">
      <c r="A220" s="36" t="s">
        <v>720</v>
      </c>
      <c r="B220" s="76" t="n">
        <v>130.8328</v>
      </c>
      <c r="C220" s="77" t="n">
        <v>6481.3999</v>
      </c>
      <c r="D220" s="45" t="n">
        <f aca="false">B220/B219-1</f>
        <v>0.0115275958738783</v>
      </c>
      <c r="E220" s="45" t="n">
        <f aca="false">C220/C219-1</f>
        <v>0.00239099036475743</v>
      </c>
      <c r="F220" s="35"/>
      <c r="G220" s="35"/>
      <c r="H220" s="33"/>
      <c r="I220" s="33"/>
      <c r="J220" s="33"/>
      <c r="K220" s="33"/>
      <c r="L220" s="33"/>
    </row>
    <row r="221" customFormat="false" ht="15" hidden="false" customHeight="false" outlineLevel="0" collapsed="false">
      <c r="A221" s="36" t="s">
        <v>721</v>
      </c>
      <c r="B221" s="76" t="n">
        <v>132.3633</v>
      </c>
      <c r="C221" s="77" t="n">
        <v>6501.8599</v>
      </c>
      <c r="D221" s="45" t="n">
        <f aca="false">B221/B220-1</f>
        <v>0.0116981368586473</v>
      </c>
      <c r="E221" s="45" t="n">
        <f aca="false">C221/C220-1</f>
        <v>0.00315672544753798</v>
      </c>
      <c r="F221" s="35"/>
      <c r="G221" s="35"/>
      <c r="H221" s="33"/>
      <c r="I221" s="33"/>
      <c r="J221" s="33"/>
      <c r="K221" s="33"/>
      <c r="L221" s="33"/>
    </row>
    <row r="222" customFormat="false" ht="15" hidden="false" customHeight="false" outlineLevel="0" collapsed="false">
      <c r="A222" s="36" t="s">
        <v>722</v>
      </c>
      <c r="B222" s="76" t="n">
        <v>120.613</v>
      </c>
      <c r="C222" s="77" t="n">
        <v>6460.2598</v>
      </c>
      <c r="D222" s="45" t="n">
        <f aca="false">B222/B221-1</f>
        <v>-0.0887730964700941</v>
      </c>
      <c r="E222" s="45" t="n">
        <f aca="false">C222/C221-1</f>
        <v>-0.00639818461791231</v>
      </c>
      <c r="F222" s="35"/>
      <c r="G222" s="35"/>
      <c r="H222" s="33"/>
      <c r="I222" s="33"/>
      <c r="J222" s="33"/>
      <c r="K222" s="33"/>
      <c r="L222" s="33"/>
    </row>
    <row r="223" customFormat="false" ht="15" hidden="false" customHeight="false" outlineLevel="0" collapsed="false">
      <c r="A223" s="36" t="s">
        <v>723</v>
      </c>
      <c r="B223" s="76" t="n">
        <v>119.438</v>
      </c>
      <c r="C223" s="77" t="n">
        <v>6415.54</v>
      </c>
      <c r="D223" s="45" t="n">
        <f aca="false">B223/B222-1</f>
        <v>-0.00974190178504797</v>
      </c>
      <c r="E223" s="45" t="n">
        <f aca="false">C223/C222-1</f>
        <v>-0.00692229126760502</v>
      </c>
      <c r="F223" s="35"/>
      <c r="G223" s="35"/>
      <c r="H223" s="33"/>
      <c r="I223" s="33"/>
      <c r="J223" s="33"/>
      <c r="K223" s="33"/>
      <c r="L223" s="33"/>
    </row>
    <row r="224" customFormat="false" ht="15" hidden="false" customHeight="false" outlineLevel="0" collapsed="false">
      <c r="A224" s="36" t="s">
        <v>724</v>
      </c>
      <c r="B224" s="76" t="n">
        <v>122.4595</v>
      </c>
      <c r="C224" s="77" t="n">
        <v>6448.2598</v>
      </c>
      <c r="D224" s="45" t="n">
        <f aca="false">B224/B223-1</f>
        <v>0.0252976439659069</v>
      </c>
      <c r="E224" s="45" t="n">
        <f aca="false">C224/C223-1</f>
        <v>0.00510008510585225</v>
      </c>
      <c r="F224" s="35"/>
      <c r="G224" s="35"/>
      <c r="H224" s="33"/>
      <c r="I224" s="33"/>
      <c r="J224" s="33"/>
      <c r="K224" s="33"/>
      <c r="L224" s="33"/>
    </row>
    <row r="225" customFormat="false" ht="15" hidden="false" customHeight="false" outlineLevel="0" collapsed="false">
      <c r="A225" s="36" t="s">
        <v>725</v>
      </c>
      <c r="B225" s="76" t="n">
        <v>125.0762</v>
      </c>
      <c r="C225" s="77" t="n">
        <v>6502.0801</v>
      </c>
      <c r="D225" s="45" t="n">
        <f aca="false">B225/B224-1</f>
        <v>0.0213678808095736</v>
      </c>
      <c r="E225" s="45" t="n">
        <f aca="false">C225/C224-1</f>
        <v>0.00834648442669761</v>
      </c>
      <c r="F225" s="35"/>
      <c r="G225" s="35"/>
      <c r="H225" s="33"/>
      <c r="I225" s="33"/>
      <c r="J225" s="33"/>
      <c r="K225" s="33"/>
      <c r="L225" s="33"/>
    </row>
    <row r="226" customFormat="false" ht="15" hidden="false" customHeight="false" outlineLevel="0" collapsed="false">
      <c r="A226" s="36" t="s">
        <v>726</v>
      </c>
      <c r="B226" s="76" t="n">
        <v>123.2593</v>
      </c>
      <c r="C226" s="77" t="n">
        <v>6481.5</v>
      </c>
      <c r="D226" s="45" t="n">
        <f aca="false">B226/B225-1</f>
        <v>-0.0145263447402464</v>
      </c>
      <c r="E226" s="45" t="n">
        <f aca="false">C226/C225-1</f>
        <v>-0.00316515633204828</v>
      </c>
      <c r="F226" s="35"/>
      <c r="G226" s="35"/>
      <c r="H226" s="33"/>
      <c r="I226" s="33"/>
      <c r="J226" s="33"/>
      <c r="K226" s="33"/>
      <c r="L226" s="33"/>
    </row>
    <row r="227" customFormat="false" ht="15" hidden="false" customHeight="false" outlineLevel="0" collapsed="false">
      <c r="A227" s="36" t="s">
        <v>727</v>
      </c>
      <c r="B227" s="76" t="n">
        <v>121.4523</v>
      </c>
      <c r="C227" s="77" t="n">
        <v>6495.1499</v>
      </c>
      <c r="D227" s="45" t="n">
        <f aca="false">B227/B226-1</f>
        <v>-0.0146601514043971</v>
      </c>
      <c r="E227" s="45" t="n">
        <f aca="false">C227/C226-1</f>
        <v>0.00210597855434713</v>
      </c>
      <c r="F227" s="35"/>
      <c r="G227" s="35"/>
      <c r="H227" s="33"/>
      <c r="I227" s="33"/>
      <c r="J227" s="33"/>
      <c r="K227" s="33"/>
      <c r="L227" s="33"/>
    </row>
    <row r="228" customFormat="false" ht="15" hidden="false" customHeight="false" outlineLevel="0" collapsed="false">
      <c r="A228" s="36" t="s">
        <v>728</v>
      </c>
      <c r="B228" s="76" t="n">
        <v>119.7639</v>
      </c>
      <c r="C228" s="77" t="n">
        <v>6512.6099</v>
      </c>
      <c r="D228" s="45" t="n">
        <f aca="false">B228/B227-1</f>
        <v>-0.0139017540219493</v>
      </c>
      <c r="E228" s="45" t="n">
        <f aca="false">C228/C227-1</f>
        <v>0.00268815966818559</v>
      </c>
      <c r="F228" s="35"/>
      <c r="G228" s="35"/>
      <c r="H228" s="33"/>
      <c r="I228" s="33"/>
      <c r="J228" s="33"/>
      <c r="K228" s="33"/>
      <c r="L228" s="33"/>
    </row>
    <row r="229" customFormat="false" ht="15" hidden="false" customHeight="false" outlineLevel="0" collapsed="false">
      <c r="A229" s="36" t="s">
        <v>729</v>
      </c>
      <c r="B229" s="76" t="n">
        <v>122.8841</v>
      </c>
      <c r="C229" s="77" t="n">
        <v>6532.04</v>
      </c>
      <c r="D229" s="45" t="n">
        <f aca="false">B229/B228-1</f>
        <v>0.0260529257981745</v>
      </c>
      <c r="E229" s="45" t="n">
        <f aca="false">C229/C228-1</f>
        <v>0.0029834582906616</v>
      </c>
      <c r="F229" s="35"/>
      <c r="G229" s="35"/>
      <c r="H229" s="33"/>
      <c r="I229" s="33"/>
      <c r="J229" s="33"/>
      <c r="K229" s="33"/>
      <c r="L229" s="33"/>
    </row>
    <row r="230" customFormat="false" ht="15" hidden="false" customHeight="false" outlineLevel="0" collapsed="false">
      <c r="A230" s="36" t="s">
        <v>730</v>
      </c>
      <c r="B230" s="76" t="n">
        <v>123.7925</v>
      </c>
      <c r="C230" s="77" t="n">
        <v>6587.4702</v>
      </c>
      <c r="D230" s="45" t="n">
        <f aca="false">B230/B229-1</f>
        <v>0.00739233147331508</v>
      </c>
      <c r="E230" s="45" t="n">
        <f aca="false">C230/C229-1</f>
        <v>0.00848589414639211</v>
      </c>
      <c r="F230" s="35"/>
      <c r="G230" s="35"/>
      <c r="H230" s="33"/>
      <c r="I230" s="33"/>
      <c r="J230" s="33"/>
      <c r="K230" s="33"/>
      <c r="L230" s="33"/>
    </row>
    <row r="231" customFormat="false" ht="15" hidden="false" customHeight="false" outlineLevel="0" collapsed="false">
      <c r="A231" s="36" t="s">
        <v>731</v>
      </c>
      <c r="B231" s="76" t="n">
        <v>123.4667</v>
      </c>
      <c r="C231" s="77" t="n">
        <v>6584.29</v>
      </c>
      <c r="D231" s="45" t="n">
        <f aca="false">B231/B230-1</f>
        <v>-0.002631823414181</v>
      </c>
      <c r="E231" s="45" t="n">
        <f aca="false">C231/C230-1</f>
        <v>-0.000482764992242313</v>
      </c>
      <c r="F231" s="35"/>
      <c r="G231" s="35"/>
      <c r="H231" s="33"/>
      <c r="I231" s="33"/>
      <c r="J231" s="33"/>
      <c r="K231" s="33"/>
      <c r="L231" s="33"/>
    </row>
    <row r="232" customFormat="false" ht="15" hidden="false" customHeight="false" outlineLevel="0" collapsed="false">
      <c r="A232" s="36" t="s">
        <v>732</v>
      </c>
      <c r="B232" s="76" t="n">
        <v>125.2045</v>
      </c>
      <c r="C232" s="77" t="n">
        <v>6615.2798</v>
      </c>
      <c r="D232" s="45" t="n">
        <f aca="false">B232/B231-1</f>
        <v>0.0140750501957208</v>
      </c>
      <c r="E232" s="45" t="n">
        <f aca="false">C232/C231-1</f>
        <v>0.00470662744198691</v>
      </c>
      <c r="F232" s="35"/>
      <c r="G232" s="35"/>
      <c r="H232" s="33"/>
      <c r="I232" s="33"/>
      <c r="J232" s="33"/>
      <c r="K232" s="33"/>
      <c r="L232" s="33"/>
    </row>
    <row r="233" customFormat="false" ht="15" hidden="false" customHeight="false" outlineLevel="0" collapsed="false">
      <c r="A233" s="36" t="s">
        <v>733</v>
      </c>
      <c r="B233" s="76" t="n">
        <v>126.0734</v>
      </c>
      <c r="C233" s="77" t="n">
        <v>6606.7598</v>
      </c>
      <c r="D233" s="45" t="n">
        <f aca="false">B233/B232-1</f>
        <v>0.00693984641127132</v>
      </c>
      <c r="E233" s="45" t="n">
        <f aca="false">C233/C232-1</f>
        <v>-0.00128792738290529</v>
      </c>
      <c r="F233" s="35"/>
      <c r="G233" s="35"/>
      <c r="H233" s="33"/>
      <c r="I233" s="33"/>
      <c r="J233" s="33"/>
      <c r="K233" s="33"/>
      <c r="L233" s="33"/>
    </row>
    <row r="234" customFormat="false" ht="15" hidden="false" customHeight="false" outlineLevel="0" collapsed="false">
      <c r="A234" s="36" t="s">
        <v>734</v>
      </c>
      <c r="B234" s="76" t="n">
        <v>128.7</v>
      </c>
      <c r="C234" s="77" t="n">
        <v>6600.3501</v>
      </c>
      <c r="D234" s="45" t="n">
        <f aca="false">B234/B233-1</f>
        <v>0.0208338951753502</v>
      </c>
      <c r="E234" s="45" t="n">
        <f aca="false">C234/C233-1</f>
        <v>-0.000970173003716601</v>
      </c>
      <c r="F234" s="35"/>
      <c r="G234" s="35"/>
      <c r="H234" s="33"/>
      <c r="I234" s="33"/>
      <c r="J234" s="33"/>
      <c r="K234" s="33"/>
      <c r="L234" s="33"/>
    </row>
    <row r="235" customFormat="false" ht="15" hidden="false" customHeight="false" outlineLevel="0" collapsed="false">
      <c r="A235" s="36" t="s">
        <v>735</v>
      </c>
      <c r="B235" s="76" t="n">
        <v>130.4477</v>
      </c>
      <c r="C235" s="77" t="n">
        <v>6631.96</v>
      </c>
      <c r="D235" s="45" t="n">
        <f aca="false">B235/B234-1</f>
        <v>0.0135796425796426</v>
      </c>
      <c r="E235" s="45" t="n">
        <f aca="false">C235/C234-1</f>
        <v>0.00478912474657989</v>
      </c>
      <c r="F235" s="35"/>
      <c r="G235" s="35"/>
      <c r="H235" s="33"/>
      <c r="I235" s="33"/>
      <c r="J235" s="33"/>
      <c r="K235" s="33"/>
      <c r="L235" s="33"/>
    </row>
    <row r="236" customFormat="false" ht="15" hidden="false" customHeight="false" outlineLevel="0" collapsed="false">
      <c r="A236" s="36" t="s">
        <v>736</v>
      </c>
      <c r="B236" s="76" t="n">
        <v>130.2798</v>
      </c>
      <c r="C236" s="77" t="n">
        <v>6664.3599</v>
      </c>
      <c r="D236" s="45" t="n">
        <f aca="false">B236/B235-1</f>
        <v>-0.00128710586694902</v>
      </c>
      <c r="E236" s="45" t="n">
        <f aca="false">C236/C235-1</f>
        <v>0.00488541848865198</v>
      </c>
      <c r="F236" s="35"/>
      <c r="G236" s="35"/>
      <c r="H236" s="33"/>
      <c r="I236" s="33"/>
      <c r="J236" s="33"/>
      <c r="K236" s="33"/>
      <c r="L236" s="33"/>
    </row>
    <row r="237" customFormat="false" ht="15" hidden="false" customHeight="false" outlineLevel="0" collapsed="false">
      <c r="A237" s="36" t="s">
        <v>737</v>
      </c>
      <c r="B237" s="76" t="n">
        <v>133.9827</v>
      </c>
      <c r="C237" s="77" t="n">
        <v>6693.75</v>
      </c>
      <c r="D237" s="45" t="n">
        <f aca="false">B237/B236-1</f>
        <v>0.0284226718186549</v>
      </c>
      <c r="E237" s="45" t="n">
        <f aca="false">C237/C236-1</f>
        <v>0.00441004094031583</v>
      </c>
      <c r="F237" s="35"/>
      <c r="G237" s="35"/>
      <c r="H237" s="33"/>
      <c r="I237" s="33"/>
      <c r="J237" s="33"/>
      <c r="K237" s="33"/>
      <c r="L237" s="33"/>
    </row>
    <row r="238" customFormat="false" ht="15" hidden="false" customHeight="false" outlineLevel="0" collapsed="false">
      <c r="A238" s="36" t="s">
        <v>738</v>
      </c>
      <c r="B238" s="76" t="n">
        <v>132.6496</v>
      </c>
      <c r="C238" s="77" t="n">
        <v>6656.9199</v>
      </c>
      <c r="D238" s="45" t="n">
        <f aca="false">B238/B237-1</f>
        <v>-0.00994979202538837</v>
      </c>
      <c r="E238" s="45" t="n">
        <f aca="false">C238/C237-1</f>
        <v>-0.00550216246498603</v>
      </c>
      <c r="F238" s="35"/>
      <c r="G238" s="35"/>
      <c r="H238" s="33"/>
      <c r="I238" s="33"/>
      <c r="J238" s="33"/>
      <c r="K238" s="33"/>
      <c r="L238" s="33"/>
    </row>
    <row r="239" customFormat="false" ht="15" hidden="false" customHeight="false" outlineLevel="0" collapsed="false">
      <c r="A239" s="36" t="s">
        <v>739</v>
      </c>
      <c r="B239" s="76" t="n">
        <v>130.4279</v>
      </c>
      <c r="C239" s="77" t="n">
        <v>6637.9702</v>
      </c>
      <c r="D239" s="45" t="n">
        <f aca="false">B239/B238-1</f>
        <v>-0.0167486370105903</v>
      </c>
      <c r="E239" s="45" t="n">
        <f aca="false">C239/C238-1</f>
        <v>-0.0028466167964557</v>
      </c>
      <c r="F239" s="35"/>
      <c r="G239" s="35"/>
      <c r="H239" s="33"/>
      <c r="I239" s="33"/>
      <c r="J239" s="33"/>
      <c r="K239" s="33"/>
      <c r="L239" s="33"/>
    </row>
    <row r="240" customFormat="false" ht="15" hidden="false" customHeight="false" outlineLevel="0" collapsed="false">
      <c r="A240" s="36" t="s">
        <v>740</v>
      </c>
      <c r="B240" s="76" t="n">
        <v>129.3122</v>
      </c>
      <c r="C240" s="77" t="n">
        <v>6604.7202</v>
      </c>
      <c r="D240" s="45" t="n">
        <f aca="false">B240/B239-1</f>
        <v>-0.00855415137405424</v>
      </c>
      <c r="E240" s="45" t="n">
        <f aca="false">C240/C239-1</f>
        <v>-0.00500906135432788</v>
      </c>
      <c r="F240" s="35"/>
      <c r="G240" s="35"/>
      <c r="H240" s="33"/>
      <c r="I240" s="33"/>
      <c r="J240" s="33"/>
      <c r="K240" s="33"/>
      <c r="L240" s="33"/>
    </row>
    <row r="241" customFormat="false" ht="15" hidden="false" customHeight="false" outlineLevel="0" collapsed="false">
      <c r="A241" s="36" t="s">
        <v>741</v>
      </c>
      <c r="B241" s="76" t="n">
        <v>129.1147</v>
      </c>
      <c r="C241" s="77" t="n">
        <v>6643.7002</v>
      </c>
      <c r="D241" s="45" t="n">
        <f aca="false">B241/B240-1</f>
        <v>-0.00152731142150542</v>
      </c>
      <c r="E241" s="45" t="n">
        <f aca="false">C241/C240-1</f>
        <v>0.00590183971760072</v>
      </c>
      <c r="F241" s="35"/>
      <c r="G241" s="35"/>
      <c r="H241" s="33"/>
      <c r="I241" s="33"/>
      <c r="J241" s="33"/>
      <c r="K241" s="33"/>
      <c r="L241" s="33"/>
    </row>
    <row r="242" customFormat="false" ht="15" hidden="false" customHeight="false" outlineLevel="0" collapsed="false">
      <c r="A242" s="36" t="s">
        <v>742</v>
      </c>
      <c r="B242" s="76" t="n">
        <v>132.2152</v>
      </c>
      <c r="C242" s="77" t="n">
        <v>6661.21</v>
      </c>
      <c r="D242" s="45" t="n">
        <f aca="false">B242/B241-1</f>
        <v>0.0240135321539685</v>
      </c>
      <c r="E242" s="45" t="n">
        <f aca="false">C242/C241-1</f>
        <v>0.00263554938857724</v>
      </c>
      <c r="F242" s="35"/>
      <c r="G242" s="35"/>
      <c r="H242" s="33"/>
      <c r="I242" s="33"/>
      <c r="J242" s="33"/>
      <c r="K242" s="33"/>
      <c r="L242" s="33"/>
    </row>
    <row r="243" customFormat="false" ht="15" hidden="false" customHeight="false" outlineLevel="0" collapsed="false">
      <c r="A243" s="36" t="s">
        <v>743</v>
      </c>
      <c r="B243" s="76" t="n">
        <v>139.9862</v>
      </c>
      <c r="C243" s="77" t="n">
        <v>6688.46</v>
      </c>
      <c r="D243" s="45" t="n">
        <f aca="false">B243/B242-1</f>
        <v>0.0587753904240964</v>
      </c>
      <c r="E243" s="45" t="n">
        <f aca="false">C243/C242-1</f>
        <v>0.00409084835938223</v>
      </c>
      <c r="F243" s="35"/>
      <c r="G243" s="35"/>
      <c r="H243" s="33"/>
      <c r="I243" s="33"/>
      <c r="J243" s="33"/>
      <c r="K243" s="33"/>
      <c r="L243" s="33"/>
    </row>
    <row r="244" customFormat="false" ht="15" hidden="false" customHeight="false" outlineLevel="0" collapsed="false">
      <c r="A244" s="36" t="s">
        <v>744</v>
      </c>
      <c r="B244" s="76" t="n">
        <v>147.7966</v>
      </c>
      <c r="C244" s="77" t="n">
        <v>6711.2002</v>
      </c>
      <c r="D244" s="45" t="n">
        <f aca="false">B244/B243-1</f>
        <v>0.0557940711298686</v>
      </c>
      <c r="E244" s="45" t="n">
        <f aca="false">C244/C243-1</f>
        <v>0.00339991567565634</v>
      </c>
      <c r="F244" s="35"/>
      <c r="G244" s="35"/>
      <c r="H244" s="33"/>
      <c r="I244" s="33"/>
      <c r="J244" s="33"/>
      <c r="K244" s="33"/>
      <c r="L244" s="33"/>
    </row>
    <row r="245" customFormat="false" ht="15" hidden="false" customHeight="false" outlineLevel="0" collapsed="false">
      <c r="A245" s="36" t="s">
        <v>745</v>
      </c>
      <c r="B245" s="76" t="n">
        <v>145.5157</v>
      </c>
      <c r="C245" s="77" t="n">
        <v>6715.3501</v>
      </c>
      <c r="D245" s="45" t="n">
        <f aca="false">B245/B244-1</f>
        <v>-0.0154326960160112</v>
      </c>
      <c r="E245" s="45" t="n">
        <f aca="false">C245/C244-1</f>
        <v>0.000618354374229524</v>
      </c>
      <c r="F245" s="35"/>
      <c r="G245" s="35"/>
      <c r="H245" s="33"/>
      <c r="I245" s="33"/>
      <c r="J245" s="33"/>
      <c r="K245" s="33"/>
      <c r="L245" s="33"/>
    </row>
    <row r="246" customFormat="false" ht="15" hidden="false" customHeight="false" outlineLevel="0" collapsed="false">
      <c r="A246" s="36" t="s">
        <v>746</v>
      </c>
      <c r="B246" s="76" t="n">
        <v>138.9691</v>
      </c>
      <c r="C246" s="77" t="n">
        <v>6715.79</v>
      </c>
      <c r="D246" s="45" t="n">
        <f aca="false">B246/B245-1</f>
        <v>-0.0449889599541493</v>
      </c>
      <c r="E246" s="45" t="n">
        <f aca="false">C246/C245-1</f>
        <v>6.55066368022705E-005</v>
      </c>
      <c r="F246" s="35"/>
      <c r="G246" s="35"/>
      <c r="H246" s="33"/>
      <c r="I246" s="33"/>
      <c r="J246" s="33"/>
      <c r="K246" s="33"/>
      <c r="L246" s="33"/>
    </row>
    <row r="247" customFormat="false" ht="15" hidden="false" customHeight="false" outlineLevel="0" collapsed="false">
      <c r="A247" s="36" t="s">
        <v>747</v>
      </c>
      <c r="B247" s="76" t="n">
        <v>143.9259</v>
      </c>
      <c r="C247" s="77" t="n">
        <v>6740.2798</v>
      </c>
      <c r="D247" s="45" t="n">
        <f aca="false">B247/B246-1</f>
        <v>0.0356683608082662</v>
      </c>
      <c r="E247" s="45" t="n">
        <f aca="false">C247/C246-1</f>
        <v>0.00364660002769601</v>
      </c>
      <c r="F247" s="35"/>
      <c r="G247" s="35"/>
      <c r="H247" s="33"/>
      <c r="I247" s="33"/>
      <c r="J247" s="33"/>
      <c r="K247" s="33"/>
      <c r="L247" s="33"/>
    </row>
    <row r="248" customFormat="false" ht="15" hidden="false" customHeight="false" outlineLevel="0" collapsed="false">
      <c r="A248" s="36" t="s">
        <v>748</v>
      </c>
      <c r="B248" s="76" t="n">
        <v>148.9716</v>
      </c>
      <c r="C248" s="77" t="n">
        <v>6714.5898</v>
      </c>
      <c r="D248" s="45" t="n">
        <f aca="false">B248/B247-1</f>
        <v>0.0350576234020421</v>
      </c>
      <c r="E248" s="45" t="n">
        <f aca="false">C248/C247-1</f>
        <v>-0.00381141447570177</v>
      </c>
      <c r="F248" s="35"/>
      <c r="G248" s="35"/>
      <c r="H248" s="33"/>
      <c r="I248" s="33"/>
      <c r="J248" s="33"/>
      <c r="K248" s="33"/>
      <c r="L248" s="33"/>
    </row>
    <row r="249" customFormat="false" ht="15" hidden="false" customHeight="false" outlineLevel="0" collapsed="false">
      <c r="A249" s="36" t="s">
        <v>749</v>
      </c>
      <c r="B249" s="76" t="n">
        <v>162.4598</v>
      </c>
      <c r="C249" s="77" t="n">
        <v>6753.7202</v>
      </c>
      <c r="D249" s="45" t="n">
        <f aca="false">B249/B248-1</f>
        <v>0.0905420899016993</v>
      </c>
      <c r="E249" s="45" t="n">
        <f aca="false">C249/C248-1</f>
        <v>0.00582766798353052</v>
      </c>
      <c r="F249" s="35"/>
      <c r="G249" s="35"/>
      <c r="H249" s="33"/>
      <c r="I249" s="33"/>
      <c r="J249" s="33"/>
      <c r="K249" s="33"/>
      <c r="L249" s="33"/>
    </row>
    <row r="250" customFormat="false" ht="15" hidden="false" customHeight="false" outlineLevel="0" collapsed="false">
      <c r="A250" s="36" t="s">
        <v>750</v>
      </c>
      <c r="B250" s="76" t="n">
        <v>153.9877</v>
      </c>
      <c r="C250" s="77" t="n">
        <v>6735.1099</v>
      </c>
      <c r="D250" s="45" t="n">
        <f aca="false">B250/B249-1</f>
        <v>-0.0521489008357761</v>
      </c>
      <c r="E250" s="45" t="n">
        <f aca="false">C250/C249-1</f>
        <v>-0.00275556277857048</v>
      </c>
      <c r="F250" s="35"/>
      <c r="G250" s="35"/>
      <c r="H250" s="33"/>
      <c r="I250" s="33"/>
      <c r="J250" s="33"/>
      <c r="K250" s="33"/>
      <c r="L250" s="33"/>
    </row>
    <row r="251" customFormat="false" ht="15" hidden="false" customHeight="false" outlineLevel="0" collapsed="false">
      <c r="A251" s="36" t="s">
        <v>751</v>
      </c>
      <c r="B251" s="76" t="n">
        <v>148.6754</v>
      </c>
      <c r="C251" s="77" t="n">
        <v>6552.5098</v>
      </c>
      <c r="D251" s="45" t="n">
        <f aca="false">B251/B250-1</f>
        <v>-0.0344982099219613</v>
      </c>
      <c r="E251" s="45" t="n">
        <f aca="false">C251/C250-1</f>
        <v>-0.027111673411595</v>
      </c>
      <c r="F251" s="35"/>
      <c r="G251" s="35"/>
      <c r="H251" s="33"/>
      <c r="I251" s="33"/>
      <c r="J251" s="33"/>
      <c r="K251" s="33"/>
      <c r="L251" s="33"/>
    </row>
    <row r="252" customFormat="false" ht="15" hidden="false" customHeight="false" outlineLevel="0" collapsed="false">
      <c r="A252" s="36" t="s">
        <v>752</v>
      </c>
      <c r="B252" s="76" t="n">
        <v>151.4698</v>
      </c>
      <c r="C252" s="77" t="n">
        <v>6654.7202</v>
      </c>
      <c r="D252" s="45" t="n">
        <f aca="false">B252/B251-1</f>
        <v>0.018795308437038</v>
      </c>
      <c r="E252" s="45" t="n">
        <f aca="false">C252/C251-1</f>
        <v>0.0155986641942909</v>
      </c>
      <c r="F252" s="35"/>
      <c r="G252" s="35"/>
      <c r="H252" s="33"/>
      <c r="I252" s="33"/>
      <c r="J252" s="33"/>
      <c r="K252" s="33"/>
      <c r="L252" s="33"/>
    </row>
    <row r="253" customFormat="false" ht="15" hidden="false" customHeight="false" outlineLevel="0" collapsed="false">
      <c r="A253" s="36" t="s">
        <v>753</v>
      </c>
      <c r="B253" s="76" t="n">
        <v>146.8981</v>
      </c>
      <c r="C253" s="77" t="n">
        <v>6644.3101</v>
      </c>
      <c r="D253" s="45" t="n">
        <f aca="false">B253/B252-1</f>
        <v>-0.0301822541523128</v>
      </c>
      <c r="E253" s="45" t="n">
        <f aca="false">C253/C252-1</f>
        <v>-0.00156431821130509</v>
      </c>
      <c r="F253" s="35"/>
      <c r="G253" s="35"/>
      <c r="H253" s="33"/>
      <c r="I253" s="33"/>
      <c r="J253" s="33"/>
      <c r="K253" s="33"/>
      <c r="L253" s="33"/>
    </row>
    <row r="254" customFormat="false" ht="15" hidden="false" customHeight="false" outlineLevel="0" collapsed="false">
      <c r="A254" s="36" t="s">
        <v>754</v>
      </c>
      <c r="B254" s="76" t="n">
        <v>151.766</v>
      </c>
      <c r="C254" s="77" t="n">
        <v>6671.0601</v>
      </c>
      <c r="D254" s="45" t="n">
        <f aca="false">B254/B253-1</f>
        <v>0.0331379371142309</v>
      </c>
      <c r="E254" s="45" t="n">
        <f aca="false">C254/C253-1</f>
        <v>0.0040260011344142</v>
      </c>
      <c r="F254" s="35"/>
      <c r="G254" s="35"/>
      <c r="H254" s="33"/>
      <c r="I254" s="33"/>
      <c r="J254" s="33"/>
      <c r="K254" s="33"/>
      <c r="L254" s="33"/>
    </row>
    <row r="255" customFormat="false" ht="15" hidden="false" customHeight="false" outlineLevel="0" collapsed="false">
      <c r="A255" s="36" t="s">
        <v>755</v>
      </c>
      <c r="B255" s="76" t="n">
        <v>149.4061</v>
      </c>
      <c r="C255" s="77" t="n">
        <v>6629.0698</v>
      </c>
      <c r="D255" s="45" t="n">
        <f aca="false">B255/B254-1</f>
        <v>-0.0155495960887154</v>
      </c>
      <c r="E255" s="45" t="n">
        <f aca="false">C255/C254-1</f>
        <v>-0.00629439689802813</v>
      </c>
      <c r="F255" s="35"/>
      <c r="G255" s="35"/>
      <c r="H255" s="33"/>
      <c r="I255" s="33"/>
      <c r="J255" s="33"/>
      <c r="K255" s="33"/>
      <c r="L255" s="33"/>
    </row>
    <row r="256" customFormat="false" ht="15" hidden="false" customHeight="false" outlineLevel="0" collapsed="false">
      <c r="A256" s="36" t="s">
        <v>756</v>
      </c>
      <c r="B256" s="76" t="n">
        <v>147.7078</v>
      </c>
      <c r="C256" s="77" t="n">
        <v>6664.0098</v>
      </c>
      <c r="D256" s="45" t="n">
        <f aca="false">B256/B255-1</f>
        <v>-0.011367005764825</v>
      </c>
      <c r="E256" s="45" t="n">
        <f aca="false">C256/C255-1</f>
        <v>0.00527072440842291</v>
      </c>
      <c r="F256" s="35"/>
      <c r="G256" s="35"/>
      <c r="H256" s="33"/>
      <c r="I256" s="33"/>
      <c r="J256" s="33"/>
      <c r="K256" s="33"/>
      <c r="L256" s="33"/>
    </row>
    <row r="257" customFormat="false" ht="15" hidden="false" customHeight="false" outlineLevel="0" collapsed="false">
      <c r="A257" s="36" t="s">
        <v>757</v>
      </c>
      <c r="B257" s="76" t="n">
        <v>146.0094</v>
      </c>
      <c r="C257" s="77" t="n">
        <v>6735.1299</v>
      </c>
      <c r="D257" s="45" t="n">
        <f aca="false">B257/B256-1</f>
        <v>-0.0114983772014747</v>
      </c>
      <c r="E257" s="45" t="n">
        <f aca="false">C257/C256-1</f>
        <v>0.0106722682190534</v>
      </c>
      <c r="F257" s="35"/>
      <c r="G257" s="35"/>
      <c r="H257" s="33"/>
      <c r="I257" s="33"/>
      <c r="J257" s="33"/>
      <c r="K257" s="33"/>
      <c r="L257" s="33"/>
    </row>
    <row r="258" customFormat="false" ht="15" hidden="false" customHeight="false" outlineLevel="0" collapsed="false">
      <c r="A258" s="36" t="s">
        <v>758</v>
      </c>
      <c r="B258" s="76" t="n">
        <v>148.0755</v>
      </c>
      <c r="C258" s="77" t="n">
        <v>6735.3501</v>
      </c>
      <c r="D258" s="45" t="n">
        <f aca="false">B258/B257-1</f>
        <v>0.014150458806077</v>
      </c>
      <c r="E258" s="45" t="n">
        <f aca="false">C258/C257-1</f>
        <v>3.26942469215386E-005</v>
      </c>
      <c r="F258" s="35"/>
      <c r="G258" s="35"/>
      <c r="H258" s="33"/>
      <c r="I258" s="33"/>
      <c r="J258" s="33"/>
      <c r="K258" s="33"/>
      <c r="L258" s="33"/>
    </row>
    <row r="259" customFormat="false" ht="15" hidden="false" customHeight="false" outlineLevel="0" collapsed="false">
      <c r="A259" s="36" t="s">
        <v>759</v>
      </c>
      <c r="B259" s="76" t="n">
        <v>148.7691</v>
      </c>
      <c r="C259" s="77" t="n">
        <v>6699.3999</v>
      </c>
      <c r="D259" s="45" t="n">
        <f aca="false">B259/B258-1</f>
        <v>0.0046840969640487</v>
      </c>
      <c r="E259" s="45" t="n">
        <f aca="false">C259/C258-1</f>
        <v>-0.00533753991496289</v>
      </c>
      <c r="F259" s="35"/>
      <c r="G259" s="35"/>
      <c r="H259" s="33"/>
      <c r="I259" s="33"/>
      <c r="J259" s="33"/>
      <c r="K259" s="33"/>
      <c r="L259" s="33"/>
    </row>
    <row r="260" customFormat="false" ht="15" hidden="false" customHeight="false" outlineLevel="0" collapsed="false">
      <c r="A260" s="36" t="s">
        <v>760</v>
      </c>
      <c r="B260" s="76" t="n">
        <v>152.832</v>
      </c>
      <c r="C260" s="77" t="n">
        <v>6738.4399</v>
      </c>
      <c r="D260" s="45" t="n">
        <f aca="false">B260/B259-1</f>
        <v>0.0273101067358745</v>
      </c>
      <c r="E260" s="45" t="n">
        <f aca="false">C260/C259-1</f>
        <v>0.00582738761422497</v>
      </c>
      <c r="F260" s="35"/>
      <c r="G260" s="35"/>
      <c r="H260" s="33"/>
      <c r="I260" s="33"/>
      <c r="J260" s="33"/>
      <c r="K260" s="33"/>
      <c r="L260" s="33"/>
    </row>
    <row r="261" customFormat="false" ht="15" hidden="false" customHeight="false" outlineLevel="0" collapsed="false">
      <c r="A261" s="36" t="s">
        <v>761</v>
      </c>
      <c r="B261" s="76" t="n">
        <v>157.202</v>
      </c>
      <c r="C261" s="77" t="n">
        <v>6791.6899</v>
      </c>
      <c r="D261" s="45" t="n">
        <f aca="false">B261/B260-1</f>
        <v>0.028593488274707</v>
      </c>
      <c r="E261" s="45" t="n">
        <f aca="false">C261/C260-1</f>
        <v>0.00790242263643259</v>
      </c>
      <c r="F261" s="35"/>
      <c r="G261" s="35"/>
      <c r="H261" s="33"/>
      <c r="I261" s="33"/>
      <c r="J261" s="33"/>
      <c r="K261" s="33"/>
      <c r="L261" s="33"/>
    </row>
    <row r="262" customFormat="false" ht="15" hidden="false" customHeight="false" outlineLevel="0" collapsed="false">
      <c r="A262" s="36" t="s">
        <v>762</v>
      </c>
      <c r="B262" s="76" t="n">
        <v>160.7198</v>
      </c>
      <c r="C262" s="77" t="n">
        <v>6875.1602</v>
      </c>
      <c r="D262" s="45" t="n">
        <f aca="false">B262/B261-1</f>
        <v>0.022377577893411</v>
      </c>
      <c r="E262" s="45" t="n">
        <f aca="false">C262/C261-1</f>
        <v>0.0122900634788994</v>
      </c>
      <c r="F262" s="35"/>
      <c r="G262" s="35"/>
      <c r="H262" s="33"/>
      <c r="I262" s="33"/>
      <c r="J262" s="33"/>
      <c r="K262" s="33"/>
      <c r="L262" s="33"/>
    </row>
    <row r="263" customFormat="false" ht="15" hidden="false" customHeight="false" outlineLevel="0" collapsed="false">
      <c r="A263" s="36" t="s">
        <v>763</v>
      </c>
      <c r="B263" s="76" t="n">
        <v>163.3855</v>
      </c>
      <c r="C263" s="77" t="n">
        <v>6890.8901</v>
      </c>
      <c r="D263" s="45" t="n">
        <f aca="false">B263/B262-1</f>
        <v>0.0165860086933907</v>
      </c>
      <c r="E263" s="45" t="n">
        <f aca="false">C263/C262-1</f>
        <v>0.00228793214156653</v>
      </c>
      <c r="F263" s="35"/>
      <c r="G263" s="35"/>
      <c r="H263" s="33"/>
      <c r="I263" s="33"/>
      <c r="J263" s="33"/>
      <c r="K263" s="33"/>
      <c r="L263" s="33"/>
    </row>
    <row r="264" customFormat="false" ht="15" hidden="false" customHeight="false" outlineLevel="0" collapsed="false">
      <c r="A264" s="36" t="s">
        <v>764</v>
      </c>
      <c r="B264" s="76" t="n">
        <v>162.1171</v>
      </c>
      <c r="C264" s="77" t="n">
        <v>6890.5898</v>
      </c>
      <c r="D264" s="45" t="n">
        <f aca="false">B264/B263-1</f>
        <v>-0.0077632348035781</v>
      </c>
      <c r="E264" s="45" t="n">
        <f aca="false">C264/C263-1</f>
        <v>-4.35792757744746E-005</v>
      </c>
      <c r="F264" s="35"/>
      <c r="G264" s="35"/>
      <c r="H264" s="33"/>
      <c r="I264" s="33"/>
      <c r="J264" s="33"/>
      <c r="K264" s="33"/>
      <c r="L264" s="33"/>
    </row>
    <row r="265" customFormat="false" ht="15" hidden="false" customHeight="false" outlineLevel="0" collapsed="false">
      <c r="A265" s="36" t="s">
        <v>765</v>
      </c>
      <c r="B265" s="76" t="n">
        <v>159.5505</v>
      </c>
      <c r="C265" s="77" t="n">
        <v>6822.3398</v>
      </c>
      <c r="D265" s="45" t="n">
        <f aca="false">B265/B264-1</f>
        <v>-0.0158317660505893</v>
      </c>
      <c r="E265" s="45" t="n">
        <f aca="false">C265/C264-1</f>
        <v>-0.00990481250240727</v>
      </c>
      <c r="F265" s="35"/>
      <c r="G265" s="35"/>
      <c r="H265" s="33"/>
      <c r="I265" s="33"/>
      <c r="J265" s="33"/>
      <c r="K265" s="33"/>
      <c r="L265" s="33"/>
    </row>
    <row r="266" customFormat="false" ht="15" hidden="false" customHeight="false" outlineLevel="0" collapsed="false">
      <c r="A266" s="36" t="s">
        <v>766</v>
      </c>
      <c r="B266" s="76" t="n">
        <v>160.5415</v>
      </c>
      <c r="C266" s="77" t="n">
        <v>6840.2002</v>
      </c>
      <c r="D266" s="45" t="n">
        <f aca="false">B266/B265-1</f>
        <v>0.00621119958884497</v>
      </c>
      <c r="E266" s="45" t="n">
        <f aca="false">C266/C265-1</f>
        <v>0.00261792882260137</v>
      </c>
      <c r="F266" s="35"/>
      <c r="G266" s="35"/>
      <c r="H266" s="33"/>
      <c r="I266" s="33"/>
      <c r="J266" s="33"/>
      <c r="K266" s="33"/>
      <c r="L266" s="33"/>
    </row>
    <row r="267" customFormat="false" ht="15" hidden="false" customHeight="false" outlineLevel="0" collapsed="false">
      <c r="A267" s="36" t="s">
        <v>767</v>
      </c>
      <c r="B267" s="76" t="n">
        <v>158.6587</v>
      </c>
      <c r="C267" s="77" t="n">
        <v>6851.9702</v>
      </c>
      <c r="D267" s="45" t="n">
        <f aca="false">B267/B266-1</f>
        <v>-0.0117278086974396</v>
      </c>
      <c r="E267" s="45" t="n">
        <f aca="false">C267/C266-1</f>
        <v>0.00172070987045081</v>
      </c>
      <c r="F267" s="35"/>
      <c r="G267" s="35"/>
      <c r="H267" s="33"/>
      <c r="I267" s="33"/>
      <c r="J267" s="33"/>
      <c r="K267" s="33"/>
      <c r="L267" s="33"/>
    </row>
    <row r="268" customFormat="false" ht="15" hidden="false" customHeight="false" outlineLevel="0" collapsed="false">
      <c r="A268" s="36" t="s">
        <v>768</v>
      </c>
      <c r="B268" s="76" t="n">
        <v>153.2383</v>
      </c>
      <c r="C268" s="77" t="n">
        <v>6771.5498</v>
      </c>
      <c r="D268" s="45" t="n">
        <f aca="false">B268/B267-1</f>
        <v>-0.0341639002462518</v>
      </c>
      <c r="E268" s="45" t="n">
        <f aca="false">C268/C267-1</f>
        <v>-0.0117368286277719</v>
      </c>
      <c r="F268" s="35"/>
      <c r="G268" s="35"/>
      <c r="H268" s="33"/>
      <c r="I268" s="33"/>
      <c r="J268" s="33"/>
      <c r="K268" s="33"/>
      <c r="L268" s="33"/>
    </row>
    <row r="269" customFormat="false" ht="15" hidden="false" customHeight="false" outlineLevel="0" collapsed="false">
      <c r="A269" s="36" t="s">
        <v>769</v>
      </c>
      <c r="B269" s="76" t="n">
        <v>151.0285</v>
      </c>
      <c r="C269" s="77" t="n">
        <v>6796.29</v>
      </c>
      <c r="D269" s="45" t="n">
        <f aca="false">B269/B268-1</f>
        <v>-0.0144206768151305</v>
      </c>
      <c r="E269" s="45" t="n">
        <f aca="false">C269/C268-1</f>
        <v>0.00365355062440798</v>
      </c>
      <c r="F269" s="35"/>
      <c r="G269" s="35"/>
      <c r="H269" s="33"/>
      <c r="I269" s="33"/>
      <c r="J269" s="33"/>
      <c r="K269" s="33"/>
      <c r="L269" s="33"/>
    </row>
    <row r="270" customFormat="false" ht="15" hidden="false" customHeight="false" outlineLevel="0" collapsed="false">
      <c r="A270" s="36" t="s">
        <v>770</v>
      </c>
      <c r="B270" s="76" t="n">
        <v>147.8278</v>
      </c>
      <c r="C270" s="77" t="n">
        <v>6720.3198</v>
      </c>
      <c r="D270" s="45" t="n">
        <f aca="false">B270/B269-1</f>
        <v>-0.0211926887971476</v>
      </c>
      <c r="E270" s="45" t="n">
        <f aca="false">C270/C269-1</f>
        <v>-0.011178186922571</v>
      </c>
      <c r="F270" s="35"/>
      <c r="G270" s="35"/>
      <c r="H270" s="33"/>
      <c r="I270" s="33"/>
      <c r="J270" s="33"/>
      <c r="K270" s="33"/>
      <c r="L270" s="33"/>
    </row>
    <row r="271" customFormat="false" ht="15" hidden="false" customHeight="false" outlineLevel="0" collapsed="false">
      <c r="A271" s="36" t="s">
        <v>771</v>
      </c>
      <c r="B271" s="76" t="n">
        <v>145.3702</v>
      </c>
      <c r="C271" s="77" t="n">
        <v>6728.7998</v>
      </c>
      <c r="D271" s="45" t="n">
        <f aca="false">B271/B270-1</f>
        <v>-0.0166247485249729</v>
      </c>
      <c r="E271" s="45" t="n">
        <f aca="false">C271/C270-1</f>
        <v>0.00126184471161617</v>
      </c>
      <c r="F271" s="35"/>
      <c r="G271" s="35"/>
      <c r="H271" s="33"/>
      <c r="I271" s="33"/>
      <c r="J271" s="33"/>
      <c r="K271" s="33"/>
      <c r="L271" s="33"/>
    </row>
    <row r="272" customFormat="false" ht="15" hidden="false" customHeight="false" outlineLevel="0" collapsed="false">
      <c r="A272" s="36" t="s">
        <v>772</v>
      </c>
      <c r="B272" s="76" t="n">
        <v>141.3966</v>
      </c>
      <c r="C272" s="77" t="n">
        <v>6832.4302</v>
      </c>
      <c r="D272" s="45" t="n">
        <f aca="false">B272/B271-1</f>
        <v>-0.0273343505065</v>
      </c>
      <c r="E272" s="45" t="n">
        <f aca="false">C272/C271-1</f>
        <v>0.0154010229283386</v>
      </c>
      <c r="F272" s="35"/>
      <c r="G272" s="35"/>
      <c r="H272" s="33"/>
      <c r="I272" s="33"/>
      <c r="J272" s="33"/>
      <c r="K272" s="33"/>
      <c r="L272" s="33"/>
    </row>
    <row r="273" customFormat="false" ht="15" hidden="false" customHeight="false" outlineLevel="0" collapsed="false">
      <c r="A273" s="36" t="s">
        <v>773</v>
      </c>
      <c r="B273" s="76" t="n">
        <v>137.5022</v>
      </c>
      <c r="C273" s="77" t="n">
        <v>6846.6099</v>
      </c>
      <c r="D273" s="45" t="n">
        <f aca="false">B273/B272-1</f>
        <v>-0.0275423878650549</v>
      </c>
      <c r="E273" s="45" t="n">
        <f aca="false">C273/C272-1</f>
        <v>0.00207535233949407</v>
      </c>
      <c r="F273" s="35"/>
      <c r="G273" s="35"/>
      <c r="H273" s="33"/>
      <c r="I273" s="33"/>
      <c r="J273" s="33"/>
      <c r="K273" s="33"/>
      <c r="L273" s="33"/>
    </row>
    <row r="274" customFormat="false" ht="15" hidden="false" customHeight="false" outlineLevel="0" collapsed="false">
      <c r="A274" s="36" t="s">
        <v>774</v>
      </c>
      <c r="B274" s="76" t="n">
        <v>139.4346</v>
      </c>
      <c r="C274" s="77" t="n">
        <v>6850.9199</v>
      </c>
      <c r="D274" s="45" t="n">
        <f aca="false">B274/B273-1</f>
        <v>0.0140535933243251</v>
      </c>
      <c r="E274" s="45" t="n">
        <f aca="false">C274/C273-1</f>
        <v>0.000629508627328024</v>
      </c>
      <c r="F274" s="35"/>
      <c r="G274" s="35"/>
      <c r="H274" s="33"/>
      <c r="I274" s="33"/>
      <c r="J274" s="33"/>
      <c r="K274" s="33"/>
      <c r="L274" s="33"/>
    </row>
    <row r="275" customFormat="false" ht="15" hidden="false" customHeight="false" outlineLevel="0" collapsed="false">
      <c r="A275" s="36" t="s">
        <v>775</v>
      </c>
      <c r="B275" s="76" t="n">
        <v>132.7259</v>
      </c>
      <c r="C275" s="77" t="n">
        <v>6737.4902</v>
      </c>
      <c r="D275" s="45" t="n">
        <f aca="false">B275/B274-1</f>
        <v>-0.0481135959080458</v>
      </c>
      <c r="E275" s="45" t="n">
        <f aca="false">C275/C274-1</f>
        <v>-0.0165568568390355</v>
      </c>
      <c r="F275" s="35"/>
      <c r="G275" s="35"/>
      <c r="H275" s="33"/>
      <c r="I275" s="33"/>
      <c r="J275" s="33"/>
      <c r="K275" s="33"/>
      <c r="L275" s="33"/>
    </row>
    <row r="276" customFormat="false" ht="15" hidden="false" customHeight="false" outlineLevel="0" collapsed="false">
      <c r="A276" s="36" t="s">
        <v>776</v>
      </c>
      <c r="B276" s="76" t="n">
        <v>132.5475</v>
      </c>
      <c r="C276" s="77" t="n">
        <v>6734.1099</v>
      </c>
      <c r="D276" s="45" t="n">
        <f aca="false">B276/B275-1</f>
        <v>-0.0013441234905921</v>
      </c>
      <c r="E276" s="45" t="n">
        <f aca="false">C276/C275-1</f>
        <v>-0.000501715015481574</v>
      </c>
      <c r="F276" s="35"/>
      <c r="G276" s="35"/>
      <c r="H276" s="33"/>
      <c r="I276" s="33"/>
      <c r="J276" s="33"/>
      <c r="K276" s="33"/>
      <c r="L276" s="33"/>
    </row>
    <row r="277" customFormat="false" ht="15" hidden="false" customHeight="false" outlineLevel="0" collapsed="false">
      <c r="A277" s="36" t="s">
        <v>777</v>
      </c>
      <c r="B277" s="76" t="n">
        <v>121.3698</v>
      </c>
      <c r="C277" s="77" t="n">
        <v>6672.4102</v>
      </c>
      <c r="D277" s="45" t="n">
        <f aca="false">B277/B276-1</f>
        <v>-0.0843297685735304</v>
      </c>
      <c r="E277" s="45" t="n">
        <f aca="false">C277/C276-1</f>
        <v>-0.00916226508272466</v>
      </c>
      <c r="F277" s="35"/>
      <c r="G277" s="35"/>
      <c r="H277" s="33"/>
      <c r="I277" s="33"/>
      <c r="J277" s="33"/>
      <c r="K277" s="33"/>
      <c r="L277" s="33"/>
    </row>
    <row r="278" customFormat="false" ht="15" hidden="false" customHeight="false" outlineLevel="0" collapsed="false">
      <c r="A278" s="36" t="s">
        <v>778</v>
      </c>
      <c r="B278" s="76" t="n">
        <v>121.5779</v>
      </c>
      <c r="C278" s="77" t="n">
        <v>6617.3198</v>
      </c>
      <c r="D278" s="45" t="n">
        <f aca="false">B278/B277-1</f>
        <v>0.00171459456965417</v>
      </c>
      <c r="E278" s="45" t="n">
        <f aca="false">C278/C277-1</f>
        <v>-0.00825644682336824</v>
      </c>
      <c r="F278" s="35"/>
      <c r="G278" s="35"/>
      <c r="H278" s="33"/>
      <c r="I278" s="33"/>
      <c r="J278" s="33"/>
      <c r="K278" s="33"/>
      <c r="L278" s="33"/>
    </row>
    <row r="279" customFormat="false" ht="15" hidden="false" customHeight="false" outlineLevel="0" collapsed="false">
      <c r="A279" s="36" t="s">
        <v>779</v>
      </c>
      <c r="B279" s="76" t="n">
        <v>118.2979</v>
      </c>
      <c r="C279" s="77" t="n">
        <v>6642.1602</v>
      </c>
      <c r="D279" s="45" t="n">
        <f aca="false">B279/B278-1</f>
        <v>-0.026978587391294</v>
      </c>
      <c r="E279" s="45" t="n">
        <f aca="false">C279/C278-1</f>
        <v>0.00375384608130913</v>
      </c>
      <c r="F279" s="35"/>
      <c r="G279" s="35"/>
      <c r="H279" s="33"/>
      <c r="I279" s="33"/>
      <c r="J279" s="33"/>
      <c r="K279" s="33"/>
      <c r="L279" s="33"/>
    </row>
    <row r="280" customFormat="false" ht="15" hidden="false" customHeight="false" outlineLevel="0" collapsed="false">
      <c r="A280" s="36" t="s">
        <v>780</v>
      </c>
      <c r="B280" s="76" t="n">
        <v>116.3358</v>
      </c>
      <c r="C280" s="77" t="n">
        <v>6538.7598</v>
      </c>
      <c r="D280" s="45" t="n">
        <f aca="false">B280/B279-1</f>
        <v>-0.0165860932442588</v>
      </c>
      <c r="E280" s="45" t="n">
        <f aca="false">C280/C279-1</f>
        <v>-0.0155672848721716</v>
      </c>
      <c r="F280" s="35"/>
      <c r="G280" s="35"/>
      <c r="H280" s="33"/>
      <c r="I280" s="33"/>
      <c r="J280" s="33"/>
      <c r="K280" s="33"/>
      <c r="L280" s="33"/>
    </row>
    <row r="281" customFormat="false" ht="15" hidden="false" customHeight="false" outlineLevel="0" collapsed="false">
      <c r="A281" s="36" t="s">
        <v>781</v>
      </c>
      <c r="B281" s="76" t="n">
        <v>121.3995</v>
      </c>
      <c r="C281" s="77" t="n">
        <v>6602.9902</v>
      </c>
      <c r="D281" s="45" t="n">
        <f aca="false">B281/B280-1</f>
        <v>0.0435265842500761</v>
      </c>
      <c r="E281" s="45" t="n">
        <f aca="false">C281/C280-1</f>
        <v>0.00982302484945241</v>
      </c>
      <c r="F281" s="35"/>
      <c r="G281" s="35"/>
      <c r="H281" s="33"/>
      <c r="I281" s="33"/>
      <c r="J281" s="33"/>
      <c r="K281" s="33"/>
      <c r="L281" s="33"/>
    </row>
    <row r="282" customFormat="false" ht="15" hidden="false" customHeight="false" outlineLevel="0" collapsed="false">
      <c r="A282" s="36" t="s">
        <v>782</v>
      </c>
      <c r="B282" s="76" t="n">
        <v>126.0668</v>
      </c>
      <c r="C282" s="77" t="n">
        <v>6705.1201</v>
      </c>
      <c r="D282" s="45" t="n">
        <f aca="false">B282/B281-1</f>
        <v>0.0384457926103485</v>
      </c>
      <c r="E282" s="45" t="n">
        <f aca="false">C282/C281-1</f>
        <v>0.0154672196848027</v>
      </c>
      <c r="F282" s="35"/>
      <c r="G282" s="35"/>
      <c r="H282" s="33"/>
      <c r="I282" s="33"/>
      <c r="J282" s="33"/>
      <c r="K282" s="33"/>
      <c r="L282" s="33"/>
    </row>
    <row r="283" customFormat="false" ht="15" hidden="false" customHeight="false" outlineLevel="0" collapsed="false">
      <c r="A283" s="36" t="s">
        <v>783</v>
      </c>
      <c r="B283" s="76" t="n">
        <v>124.7786</v>
      </c>
      <c r="C283" s="77" t="n">
        <v>6765.8799</v>
      </c>
      <c r="D283" s="45" t="n">
        <f aca="false">B283/B282-1</f>
        <v>-0.0102183921540009</v>
      </c>
      <c r="E283" s="45" t="n">
        <f aca="false">C283/C282-1</f>
        <v>0.00906170196712797</v>
      </c>
      <c r="F283" s="35"/>
      <c r="G283" s="35"/>
      <c r="H283" s="33"/>
      <c r="I283" s="33"/>
      <c r="J283" s="33"/>
      <c r="K283" s="33"/>
      <c r="L283" s="33"/>
    </row>
    <row r="284" customFormat="false" ht="15" hidden="false" customHeight="false" outlineLevel="0" collapsed="false">
      <c r="A284" s="36" t="s">
        <v>784</v>
      </c>
      <c r="B284" s="76" t="n">
        <v>132.0521</v>
      </c>
      <c r="C284" s="77" t="n">
        <v>6812.6099</v>
      </c>
      <c r="D284" s="45" t="n">
        <f aca="false">B284/B283-1</f>
        <v>0.0582912454539479</v>
      </c>
      <c r="E284" s="45" t="n">
        <f aca="false">C284/C283-1</f>
        <v>0.00690671438019463</v>
      </c>
      <c r="F284" s="35"/>
      <c r="G284" s="35"/>
      <c r="H284" s="33"/>
      <c r="I284" s="33"/>
      <c r="J284" s="33"/>
      <c r="K284" s="33"/>
      <c r="L284" s="33"/>
    </row>
    <row r="285" customFormat="false" ht="15" hidden="false" customHeight="false" outlineLevel="0" collapsed="false">
      <c r="A285" s="36" t="s">
        <v>785</v>
      </c>
      <c r="B285" s="76" t="n">
        <v>132.1413</v>
      </c>
      <c r="C285" s="77" t="n">
        <v>6849.0898</v>
      </c>
      <c r="D285" s="45" t="n">
        <f aca="false">B285/B284-1</f>
        <v>0.000675490961522085</v>
      </c>
      <c r="E285" s="45" t="n">
        <f aca="false">C285/C284-1</f>
        <v>0.00535476132282264</v>
      </c>
      <c r="F285" s="35"/>
      <c r="G285" s="35"/>
      <c r="H285" s="33"/>
      <c r="I285" s="33"/>
      <c r="J285" s="33"/>
      <c r="K285" s="33"/>
      <c r="L285" s="33"/>
    </row>
    <row r="286" customFormat="false" ht="15" hidden="false" customHeight="false" outlineLevel="0" collapsed="false">
      <c r="A286" s="36" t="s">
        <v>786</v>
      </c>
      <c r="B286" s="76" t="n">
        <v>130.8927</v>
      </c>
      <c r="C286" s="77" t="n">
        <v>6812.6299</v>
      </c>
      <c r="D286" s="45" t="n">
        <f aca="false">B286/B285-1</f>
        <v>-0.00944897620955754</v>
      </c>
      <c r="E286" s="45" t="n">
        <f aca="false">C286/C285-1</f>
        <v>-0.00532332047975193</v>
      </c>
      <c r="F286" s="35"/>
      <c r="G286" s="35"/>
      <c r="H286" s="33"/>
      <c r="I286" s="33"/>
      <c r="J286" s="33"/>
      <c r="K286" s="33"/>
      <c r="L286" s="33"/>
    </row>
    <row r="287" customFormat="false" ht="15" hidden="false" customHeight="false" outlineLevel="0" collapsed="false">
      <c r="A287" s="36" t="s">
        <v>787</v>
      </c>
      <c r="B287" s="76" t="n">
        <v>134.7177</v>
      </c>
      <c r="C287" s="77" t="n">
        <v>6829.3701</v>
      </c>
      <c r="D287" s="45" t="n">
        <f aca="false">B287/B286-1</f>
        <v>0.0292224088891131</v>
      </c>
      <c r="E287" s="45" t="n">
        <f aca="false">C287/C286-1</f>
        <v>0.0024572302100252</v>
      </c>
      <c r="F287" s="35"/>
      <c r="G287" s="35"/>
      <c r="H287" s="33"/>
      <c r="I287" s="33"/>
      <c r="J287" s="33"/>
      <c r="K287" s="33"/>
      <c r="L287" s="33"/>
    </row>
    <row r="288" customFormat="false" ht="15" hidden="false" customHeight="false" outlineLevel="0" collapsed="false">
      <c r="A288" s="36" t="s">
        <v>788</v>
      </c>
      <c r="B288" s="76" t="n">
        <v>132.4187</v>
      </c>
      <c r="C288" s="77" t="n">
        <v>6849.7202</v>
      </c>
      <c r="D288" s="45" t="n">
        <f aca="false">B288/B287-1</f>
        <v>-0.0170653150996491</v>
      </c>
      <c r="E288" s="45" t="n">
        <f aca="false">C288/C287-1</f>
        <v>0.00297979165018458</v>
      </c>
      <c r="F288" s="35"/>
      <c r="G288" s="35"/>
      <c r="H288" s="33"/>
      <c r="I288" s="33"/>
      <c r="J288" s="33"/>
      <c r="K288" s="33"/>
      <c r="L288" s="33"/>
    </row>
    <row r="289" customFormat="false" ht="15" hidden="false" customHeight="false" outlineLevel="0" collapsed="false">
      <c r="A289" s="36" t="s">
        <v>789</v>
      </c>
      <c r="B289" s="76" t="n">
        <v>137.7301</v>
      </c>
      <c r="C289" s="77" t="n">
        <v>6857.1201</v>
      </c>
      <c r="D289" s="45" t="n">
        <f aca="false">B289/B288-1</f>
        <v>0.0401106490246468</v>
      </c>
      <c r="E289" s="45" t="n">
        <f aca="false">C289/C288-1</f>
        <v>0.0010803214998476</v>
      </c>
      <c r="F289" s="35"/>
      <c r="G289" s="35"/>
      <c r="H289" s="33"/>
      <c r="I289" s="33"/>
      <c r="J289" s="33"/>
      <c r="K289" s="33"/>
      <c r="L289" s="33"/>
    </row>
    <row r="290" customFormat="false" ht="15" hidden="false" customHeight="false" outlineLevel="0" collapsed="false">
      <c r="A290" s="36" t="s">
        <v>790</v>
      </c>
      <c r="B290" s="76" t="n">
        <v>137.6509</v>
      </c>
      <c r="C290" s="77" t="n">
        <v>6870.3999</v>
      </c>
      <c r="D290" s="45" t="n">
        <f aca="false">B290/B289-1</f>
        <v>-0.000575037700546122</v>
      </c>
      <c r="E290" s="45" t="n">
        <f aca="false">C290/C289-1</f>
        <v>0.00193664392723703</v>
      </c>
      <c r="F290" s="35"/>
      <c r="G290" s="35"/>
      <c r="H290" s="33"/>
      <c r="I290" s="33"/>
      <c r="J290" s="33"/>
      <c r="K290" s="33"/>
      <c r="L290" s="33"/>
    </row>
    <row r="291" customFormat="false" ht="15" hidden="false" customHeight="false" outlineLevel="0" collapsed="false">
      <c r="A291" s="36" t="s">
        <v>791</v>
      </c>
      <c r="B291" s="76" t="n">
        <v>139.1373</v>
      </c>
      <c r="C291" s="77" t="n">
        <v>6846.5098</v>
      </c>
      <c r="D291" s="45" t="n">
        <f aca="false">B291/B290-1</f>
        <v>0.0107983311405884</v>
      </c>
      <c r="E291" s="45" t="n">
        <f aca="false">C291/C290-1</f>
        <v>-0.00347725028349521</v>
      </c>
      <c r="F291" s="35"/>
      <c r="G291" s="35"/>
      <c r="H291" s="33"/>
      <c r="I291" s="33"/>
      <c r="J291" s="33"/>
      <c r="K291" s="33"/>
      <c r="L291" s="33"/>
    </row>
    <row r="292" customFormat="false" ht="15" hidden="false" customHeight="false" outlineLevel="0" collapsed="false">
      <c r="A292" s="36" t="s">
        <v>792</v>
      </c>
      <c r="B292" s="76" t="n">
        <v>136.9671</v>
      </c>
      <c r="C292" s="77" t="n">
        <v>6840.5098</v>
      </c>
      <c r="D292" s="45" t="n">
        <f aca="false">B292/B291-1</f>
        <v>-0.0155975428587447</v>
      </c>
      <c r="E292" s="45" t="n">
        <f aca="false">C292/C291-1</f>
        <v>-0.000876358929625676</v>
      </c>
      <c r="F292" s="35"/>
      <c r="G292" s="35"/>
      <c r="H292" s="33"/>
      <c r="I292" s="33"/>
      <c r="J292" s="33"/>
      <c r="K292" s="33"/>
      <c r="L292" s="33"/>
    </row>
    <row r="293" customFormat="false" ht="15" hidden="false" customHeight="false" outlineLevel="0" collapsed="false">
      <c r="A293" s="36" t="s">
        <v>793</v>
      </c>
      <c r="B293" s="76" t="n">
        <v>139.3553</v>
      </c>
      <c r="C293" s="77" t="n">
        <v>6886.6802</v>
      </c>
      <c r="D293" s="45" t="n">
        <f aca="false">B293/B292-1</f>
        <v>0.0174363040467382</v>
      </c>
      <c r="E293" s="45" t="n">
        <f aca="false">C293/C292-1</f>
        <v>0.00674955542056233</v>
      </c>
      <c r="F293" s="35"/>
      <c r="G293" s="35"/>
      <c r="H293" s="33"/>
      <c r="I293" s="33"/>
      <c r="J293" s="33"/>
      <c r="K293" s="33"/>
      <c r="L293" s="33"/>
    </row>
    <row r="294" customFormat="false" ht="15" hidden="false" customHeight="false" outlineLevel="0" collapsed="false">
      <c r="A294" s="36" t="s">
        <v>794</v>
      </c>
      <c r="B294" s="76" t="n">
        <v>137.3437</v>
      </c>
      <c r="C294" s="77" t="n">
        <v>6901</v>
      </c>
      <c r="D294" s="45" t="n">
        <f aca="false">B294/B293-1</f>
        <v>-0.014435044809921</v>
      </c>
      <c r="E294" s="45" t="n">
        <f aca="false">C294/C293-1</f>
        <v>0.00207934731744919</v>
      </c>
      <c r="F294" s="35"/>
      <c r="G294" s="35"/>
      <c r="H294" s="33"/>
      <c r="I294" s="33"/>
      <c r="J294" s="33"/>
      <c r="K294" s="33"/>
      <c r="L294" s="33"/>
    </row>
    <row r="295" customFormat="false" ht="15" hidden="false" customHeight="false" outlineLevel="0" collapsed="false">
      <c r="A295" s="36" t="s">
        <v>795</v>
      </c>
      <c r="B295" s="76" t="n">
        <v>128.8018</v>
      </c>
      <c r="C295" s="77" t="n">
        <v>6827.4102</v>
      </c>
      <c r="D295" s="45" t="n">
        <f aca="false">B295/B294-1</f>
        <v>-0.0621936062593336</v>
      </c>
      <c r="E295" s="45" t="n">
        <f aca="false">C295/C294-1</f>
        <v>-0.010663642950297</v>
      </c>
      <c r="F295" s="35"/>
      <c r="G295" s="35"/>
      <c r="H295" s="33"/>
      <c r="I295" s="33"/>
      <c r="J295" s="33"/>
      <c r="K295" s="33"/>
      <c r="L295" s="33"/>
    </row>
    <row r="296" customFormat="false" ht="15" hidden="false" customHeight="false" outlineLevel="0" collapsed="false">
      <c r="A296" s="36" t="s">
        <v>796</v>
      </c>
      <c r="B296" s="76" t="n">
        <v>129.327</v>
      </c>
      <c r="C296" s="77" t="n">
        <v>6816.5098</v>
      </c>
      <c r="D296" s="45" t="n">
        <f aca="false">B296/B295-1</f>
        <v>0.00407758276670056</v>
      </c>
      <c r="E296" s="45" t="n">
        <f aca="false">C296/C295-1</f>
        <v>-0.00159656438981803</v>
      </c>
      <c r="F296" s="35"/>
      <c r="G296" s="35"/>
      <c r="H296" s="33"/>
      <c r="I296" s="33"/>
      <c r="J296" s="33"/>
      <c r="K296" s="33"/>
      <c r="L296" s="33"/>
    </row>
    <row r="297" customFormat="false" ht="15" hidden="false" customHeight="false" outlineLevel="0" collapsed="false">
      <c r="A297" s="36" t="s">
        <v>797</v>
      </c>
      <c r="B297" s="76" t="n">
        <v>132.5376</v>
      </c>
      <c r="C297" s="77" t="n">
        <v>6800.2598</v>
      </c>
      <c r="D297" s="45" t="n">
        <f aca="false">B297/B296-1</f>
        <v>0.0248254424830081</v>
      </c>
      <c r="E297" s="45" t="n">
        <f aca="false">C297/C296-1</f>
        <v>-0.00238391793994042</v>
      </c>
      <c r="F297" s="35"/>
      <c r="G297" s="35"/>
      <c r="H297" s="33"/>
      <c r="I297" s="33"/>
      <c r="J297" s="33"/>
      <c r="K297" s="33"/>
      <c r="L297" s="33"/>
    </row>
    <row r="298" customFormat="false" ht="15" hidden="false" customHeight="false" outlineLevel="0" collapsed="false">
      <c r="A298" s="36" t="s">
        <v>798</v>
      </c>
      <c r="B298" s="76" t="n">
        <v>126.7307</v>
      </c>
      <c r="C298" s="77" t="n">
        <v>6721.4302</v>
      </c>
      <c r="D298" s="45" t="n">
        <f aca="false">B298/B297-1</f>
        <v>-0.0438132273407698</v>
      </c>
      <c r="E298" s="45" t="n">
        <f aca="false">C298/C297-1</f>
        <v>-0.0115921453471528</v>
      </c>
      <c r="F298" s="35"/>
      <c r="G298" s="35"/>
      <c r="H298" s="33"/>
      <c r="I298" s="33"/>
      <c r="J298" s="33"/>
      <c r="K298" s="33"/>
      <c r="L298" s="33"/>
    </row>
    <row r="299" customFormat="false" ht="15" hidden="false" customHeight="false" outlineLevel="0" collapsed="false">
      <c r="A299" s="36" t="s">
        <v>799</v>
      </c>
      <c r="B299" s="76" t="n">
        <v>121.8256</v>
      </c>
      <c r="C299" s="77" t="n">
        <v>6774.7598</v>
      </c>
      <c r="D299" s="45" t="n">
        <f aca="false">B299/B298-1</f>
        <v>-0.0387049073350025</v>
      </c>
      <c r="E299" s="45" t="n">
        <f aca="false">C299/C298-1</f>
        <v>0.00793426375237827</v>
      </c>
      <c r="F299" s="35"/>
      <c r="G299" s="35"/>
      <c r="H299" s="33"/>
      <c r="I299" s="33"/>
      <c r="J299" s="33"/>
      <c r="K299" s="33"/>
      <c r="L299" s="33"/>
    </row>
    <row r="300" customFormat="false" ht="15" hidden="false" customHeight="false" outlineLevel="0" collapsed="false">
      <c r="A300" s="36" t="s">
        <v>800</v>
      </c>
      <c r="B300" s="76" t="n">
        <v>125.2741</v>
      </c>
      <c r="C300" s="77" t="n">
        <v>6834.5</v>
      </c>
      <c r="D300" s="45" t="n">
        <f aca="false">B300/B299-1</f>
        <v>0.0283068583286272</v>
      </c>
      <c r="E300" s="45" t="n">
        <f aca="false">C300/C299-1</f>
        <v>0.00881805433160898</v>
      </c>
      <c r="F300" s="35"/>
      <c r="G300" s="35"/>
      <c r="H300" s="33"/>
      <c r="I300" s="33"/>
      <c r="J300" s="33"/>
      <c r="K300" s="33"/>
      <c r="L300" s="33"/>
    </row>
    <row r="301" customFormat="false" ht="15" hidden="false" customHeight="false" outlineLevel="0" collapsed="false">
      <c r="A301" s="36" t="s">
        <v>801</v>
      </c>
      <c r="B301" s="76" t="n">
        <v>125.4623</v>
      </c>
      <c r="C301" s="77" t="n">
        <v>6878.4902</v>
      </c>
      <c r="D301" s="45" t="n">
        <f aca="false">B301/B300-1</f>
        <v>0.00150230574396448</v>
      </c>
      <c r="E301" s="45" t="n">
        <f aca="false">C301/C300-1</f>
        <v>0.00643649133074842</v>
      </c>
      <c r="F301" s="35"/>
      <c r="G301" s="35"/>
      <c r="H301" s="33"/>
      <c r="I301" s="33"/>
      <c r="J301" s="33"/>
      <c r="K301" s="33"/>
      <c r="L301" s="33"/>
    </row>
    <row r="302" customFormat="false" ht="15" hidden="false" customHeight="false" outlineLevel="0" collapsed="false">
      <c r="A302" s="36" t="s">
        <v>802</v>
      </c>
      <c r="B302" s="76" t="n">
        <v>126.4632</v>
      </c>
      <c r="C302" s="77" t="n">
        <v>6909.79</v>
      </c>
      <c r="D302" s="45" t="n">
        <f aca="false">B302/B301-1</f>
        <v>0.00797769529173298</v>
      </c>
      <c r="E302" s="45" t="n">
        <f aca="false">C302/C301-1</f>
        <v>0.0045503881069715</v>
      </c>
      <c r="F302" s="35"/>
      <c r="G302" s="35"/>
      <c r="H302" s="33"/>
      <c r="I302" s="33"/>
      <c r="J302" s="33"/>
      <c r="K302" s="33"/>
      <c r="L302" s="33"/>
    </row>
    <row r="303" customFormat="false" ht="15" hidden="false" customHeight="false" outlineLevel="0" collapsed="false">
      <c r="A303" s="36" t="s">
        <v>803</v>
      </c>
      <c r="B303" s="76" t="n">
        <v>127.2163</v>
      </c>
      <c r="C303" s="77" t="n">
        <v>6932.0498</v>
      </c>
      <c r="D303" s="45" t="n">
        <f aca="false">B303/B302-1</f>
        <v>0.00595509207421618</v>
      </c>
      <c r="E303" s="45" t="n">
        <f aca="false">C303/C302-1</f>
        <v>0.00322148719425619</v>
      </c>
      <c r="F303" s="35"/>
      <c r="G303" s="35"/>
      <c r="H303" s="33"/>
      <c r="I303" s="33"/>
      <c r="J303" s="33"/>
      <c r="K303" s="33"/>
      <c r="L303" s="33"/>
    </row>
    <row r="304" customFormat="false" ht="15" hidden="false" customHeight="false" outlineLevel="0" collapsed="false">
      <c r="A304" s="36" t="s">
        <v>804</v>
      </c>
      <c r="B304" s="76" t="n">
        <v>128.0685</v>
      </c>
      <c r="C304" s="77" t="n">
        <v>6929.9399</v>
      </c>
      <c r="D304" s="45" t="n">
        <f aca="false">B304/B303-1</f>
        <v>0.00669882711570757</v>
      </c>
      <c r="E304" s="45" t="n">
        <f aca="false">C304/C303-1</f>
        <v>-0.000304368846282599</v>
      </c>
      <c r="F304" s="35"/>
      <c r="G304" s="35"/>
      <c r="H304" s="33"/>
      <c r="I304" s="33"/>
      <c r="J304" s="33"/>
      <c r="K304" s="33"/>
      <c r="L304" s="33"/>
    </row>
    <row r="305" customFormat="false" ht="15" hidden="false" customHeight="false" outlineLevel="0" collapsed="false">
      <c r="A305" s="36" t="s">
        <v>805</v>
      </c>
      <c r="B305" s="76" t="n">
        <v>126.3046</v>
      </c>
      <c r="C305" s="77" t="n">
        <v>6905.7402</v>
      </c>
      <c r="D305" s="45" t="n">
        <f aca="false">B305/B304-1</f>
        <v>-0.0137730979905285</v>
      </c>
      <c r="E305" s="45" t="n">
        <f aca="false">C305/C304-1</f>
        <v>-0.00349205048661394</v>
      </c>
      <c r="F305" s="35"/>
      <c r="G305" s="35"/>
      <c r="H305" s="33"/>
      <c r="I305" s="33"/>
      <c r="J305" s="33"/>
      <c r="K305" s="33"/>
      <c r="L305" s="33"/>
    </row>
    <row r="306" customFormat="false" ht="15" hidden="false" customHeight="false" outlineLevel="0" collapsed="false">
      <c r="A306" s="36" t="s">
        <v>806</v>
      </c>
      <c r="B306" s="76" t="n">
        <v>126.7605</v>
      </c>
      <c r="C306" s="77" t="n">
        <v>6896.2402</v>
      </c>
      <c r="D306" s="45" t="n">
        <f aca="false">B306/B305-1</f>
        <v>0.00360952807736226</v>
      </c>
      <c r="E306" s="45" t="n">
        <f aca="false">C306/C305-1</f>
        <v>-0.00137566715875004</v>
      </c>
      <c r="F306" s="35"/>
      <c r="G306" s="35"/>
      <c r="H306" s="33"/>
      <c r="I306" s="33"/>
      <c r="J306" s="33"/>
      <c r="K306" s="33"/>
      <c r="L306" s="33"/>
    </row>
    <row r="307" customFormat="false" ht="15" hidden="false" customHeight="false" outlineLevel="0" collapsed="false">
      <c r="A307" s="36" t="s">
        <v>807</v>
      </c>
      <c r="B307" s="76" t="n">
        <v>124.739</v>
      </c>
      <c r="C307" s="77" t="n">
        <v>6845.5</v>
      </c>
      <c r="D307" s="45" t="n">
        <f aca="false">B307/B306-1</f>
        <v>-0.0159473968625873</v>
      </c>
      <c r="E307" s="45" t="n">
        <f aca="false">C307/C306-1</f>
        <v>-0.00735766135292104</v>
      </c>
      <c r="F307" s="35"/>
      <c r="G307" s="35"/>
      <c r="H307" s="33"/>
      <c r="I307" s="33"/>
      <c r="J307" s="33"/>
      <c r="K307" s="33"/>
      <c r="L307" s="33"/>
    </row>
    <row r="308" customFormat="false" ht="15" hidden="false" customHeight="false" outlineLevel="0" collapsed="false">
      <c r="A308" s="36" t="s">
        <v>808</v>
      </c>
      <c r="B308" s="76" t="n">
        <v>126.6416</v>
      </c>
      <c r="C308" s="77" t="n">
        <v>6858.4702</v>
      </c>
      <c r="D308" s="45" t="n">
        <f aca="false">B308/B307-1</f>
        <v>0.0152526475280386</v>
      </c>
      <c r="E308" s="45" t="n">
        <f aca="false">C308/C307-1</f>
        <v>0.0018947045504345</v>
      </c>
      <c r="F308" s="35"/>
      <c r="G308" s="35"/>
      <c r="H308" s="33"/>
      <c r="I308" s="33"/>
      <c r="J308" s="33"/>
      <c r="K308" s="33"/>
      <c r="L308" s="33"/>
    </row>
    <row r="309" customFormat="false" ht="15" hidden="false" customHeight="false" outlineLevel="0" collapsed="false">
      <c r="A309" s="36" t="s">
        <v>809</v>
      </c>
      <c r="B309" s="76" t="n">
        <v>122.8859</v>
      </c>
      <c r="C309" s="77" t="n">
        <v>6902.0498</v>
      </c>
      <c r="D309" s="45" t="n">
        <f aca="false">B309/B308-1</f>
        <v>-0.0296561319503227</v>
      </c>
      <c r="E309" s="45" t="n">
        <f aca="false">C309/C308-1</f>
        <v>0.00635412835941174</v>
      </c>
      <c r="F309" s="35"/>
      <c r="G309" s="35"/>
      <c r="H309" s="33"/>
      <c r="I309" s="33"/>
      <c r="J309" s="33"/>
      <c r="K309" s="33"/>
      <c r="L309" s="33"/>
    </row>
    <row r="310" customFormat="false" ht="15" hidden="false" customHeight="false" outlineLevel="0" collapsed="false">
      <c r="A310" s="36" t="s">
        <v>810</v>
      </c>
      <c r="B310" s="76" t="n">
        <v>122.8066</v>
      </c>
      <c r="C310" s="77" t="n">
        <v>6944.8198</v>
      </c>
      <c r="D310" s="45" t="n">
        <f aca="false">B310/B309-1</f>
        <v>-0.000645314067765357</v>
      </c>
      <c r="E310" s="45" t="n">
        <f aca="false">C310/C309-1</f>
        <v>0.00619670985277443</v>
      </c>
      <c r="F310" s="35"/>
      <c r="G310" s="35"/>
      <c r="H310" s="33"/>
      <c r="I310" s="33"/>
      <c r="J310" s="33"/>
      <c r="K310" s="33"/>
      <c r="L310" s="33"/>
    </row>
    <row r="311" customFormat="false" ht="15" hidden="false" customHeight="false" outlineLevel="0" collapsed="false">
      <c r="A311" s="36" t="s">
        <v>811</v>
      </c>
      <c r="B311" s="76" t="n">
        <v>118.9816</v>
      </c>
      <c r="C311" s="77" t="n">
        <v>6920.9302</v>
      </c>
      <c r="D311" s="45" t="n">
        <f aca="false">B311/B310-1</f>
        <v>-0.0311465344696458</v>
      </c>
      <c r="E311" s="45" t="n">
        <f aca="false">C311/C310-1</f>
        <v>-0.00343991646838704</v>
      </c>
      <c r="F311" s="35"/>
      <c r="G311" s="35"/>
      <c r="H311" s="33"/>
      <c r="I311" s="33"/>
      <c r="J311" s="33"/>
      <c r="K311" s="33"/>
      <c r="L311" s="33"/>
    </row>
    <row r="312" customFormat="false" ht="15" hidden="false" customHeight="false" outlineLevel="0" collapsed="false">
      <c r="A312" s="36" t="s">
        <v>812</v>
      </c>
      <c r="B312" s="76" t="n">
        <v>117.4259</v>
      </c>
      <c r="C312" s="77" t="n">
        <v>6921.46</v>
      </c>
      <c r="D312" s="45" t="n">
        <f aca="false">B312/B311-1</f>
        <v>-0.0130751309446167</v>
      </c>
      <c r="E312" s="45" t="n">
        <f aca="false">C312/C311-1</f>
        <v>7.65504035860065E-005</v>
      </c>
      <c r="F312" s="35"/>
      <c r="G312" s="35"/>
      <c r="H312" s="33"/>
      <c r="I312" s="33"/>
      <c r="J312" s="33"/>
      <c r="K312" s="33"/>
      <c r="L312" s="33"/>
    </row>
    <row r="313" customFormat="false" ht="15" hidden="false" customHeight="false" outlineLevel="0" collapsed="false">
      <c r="A313" s="36" t="s">
        <v>813</v>
      </c>
      <c r="B313" s="76" t="n">
        <v>119.5266</v>
      </c>
      <c r="C313" s="77" t="n">
        <v>6966.2798</v>
      </c>
      <c r="D313" s="45" t="n">
        <f aca="false">B313/B312-1</f>
        <v>0.0178895797264489</v>
      </c>
      <c r="E313" s="45" t="n">
        <f aca="false">C313/C312-1</f>
        <v>0.0064754834962566</v>
      </c>
      <c r="F313" s="35"/>
      <c r="G313" s="35"/>
      <c r="H313" s="33"/>
      <c r="I313" s="33"/>
      <c r="J313" s="33"/>
      <c r="K313" s="33"/>
      <c r="L313" s="33"/>
    </row>
    <row r="314" customFormat="false" ht="15" hidden="false" customHeight="false" outlineLevel="0" collapsed="false">
      <c r="A314" s="36" t="s">
        <v>814</v>
      </c>
      <c r="B314" s="76" t="n">
        <v>119.378</v>
      </c>
      <c r="C314" s="77" t="n">
        <v>6977.27</v>
      </c>
      <c r="D314" s="45" t="n">
        <f aca="false">B314/B313-1</f>
        <v>-0.00124323790687597</v>
      </c>
      <c r="E314" s="45" t="n">
        <f aca="false">C314/C313-1</f>
        <v>0.0015776282772908</v>
      </c>
      <c r="F314" s="35"/>
      <c r="G314" s="35"/>
      <c r="H314" s="33"/>
      <c r="I314" s="33"/>
      <c r="J314" s="33"/>
      <c r="K314" s="33"/>
      <c r="L314" s="33"/>
    </row>
    <row r="315" customFormat="false" ht="15" hidden="false" customHeight="false" outlineLevel="0" collapsed="false">
      <c r="A315" s="36" t="s">
        <v>815</v>
      </c>
      <c r="B315" s="76" t="n">
        <v>118.5754</v>
      </c>
      <c r="C315" s="77" t="n">
        <v>6963.7402</v>
      </c>
      <c r="D315" s="45" t="n">
        <f aca="false">B315/B314-1</f>
        <v>-0.00672318182579701</v>
      </c>
      <c r="E315" s="45" t="n">
        <f aca="false">C315/C314-1</f>
        <v>-0.00193912518793171</v>
      </c>
      <c r="F315" s="35"/>
      <c r="G315" s="35"/>
      <c r="H315" s="33"/>
      <c r="I315" s="33"/>
      <c r="J315" s="33"/>
      <c r="K315" s="33"/>
      <c r="L315" s="33"/>
    </row>
    <row r="316" customFormat="false" ht="15" hidden="false" customHeight="false" outlineLevel="0" collapsed="false">
      <c r="A316" s="36" t="s">
        <v>816</v>
      </c>
      <c r="B316" s="76" t="n">
        <v>117.6141</v>
      </c>
      <c r="C316" s="77" t="n">
        <v>6926.6001</v>
      </c>
      <c r="D316" s="45" t="n">
        <f aca="false">B316/B315-1</f>
        <v>-0.00810707785931997</v>
      </c>
      <c r="E316" s="45" t="n">
        <f aca="false">C316/C315-1</f>
        <v>-0.00533335519897782</v>
      </c>
      <c r="F316" s="35"/>
      <c r="G316" s="35"/>
      <c r="H316" s="33"/>
      <c r="I316" s="33"/>
      <c r="J316" s="33"/>
      <c r="K316" s="33"/>
      <c r="L316" s="33"/>
    </row>
    <row r="317" customFormat="false" ht="15" hidden="false" customHeight="false" outlineLevel="0" collapsed="false">
      <c r="A317" s="36" t="s">
        <v>817</v>
      </c>
      <c r="B317" s="76" t="n">
        <v>118.5754</v>
      </c>
      <c r="C317" s="77" t="n">
        <v>6944.4702</v>
      </c>
      <c r="D317" s="45" t="n">
        <f aca="false">B317/B316-1</f>
        <v>0.0081733397611341</v>
      </c>
      <c r="E317" s="45" t="n">
        <f aca="false">C317/C316-1</f>
        <v>0.00257992373487825</v>
      </c>
      <c r="F317" s="35"/>
      <c r="G317" s="35"/>
      <c r="H317" s="33"/>
      <c r="I317" s="33"/>
      <c r="J317" s="33"/>
      <c r="K317" s="33"/>
      <c r="L317" s="33"/>
    </row>
    <row r="318" customFormat="false" ht="15" hidden="false" customHeight="false" outlineLevel="0" collapsed="false">
      <c r="A318" s="36" t="s">
        <v>818</v>
      </c>
      <c r="B318" s="76" t="n">
        <v>119.4375</v>
      </c>
      <c r="C318" s="77" t="n">
        <v>6940.0098</v>
      </c>
      <c r="D318" s="45" t="n">
        <f aca="false">B318/B317-1</f>
        <v>0.00727047937430525</v>
      </c>
      <c r="E318" s="45" t="n">
        <f aca="false">C318/C317-1</f>
        <v>-0.000642295217855526</v>
      </c>
      <c r="F318" s="35"/>
      <c r="G318" s="35"/>
      <c r="H318" s="33"/>
      <c r="I318" s="33"/>
      <c r="J318" s="33"/>
      <c r="K318" s="33"/>
      <c r="L318" s="33"/>
    </row>
    <row r="319" customFormat="false" ht="15" hidden="false" customHeight="false" outlineLevel="0" collapsed="false">
      <c r="A319" s="36" t="s">
        <v>819</v>
      </c>
      <c r="B319" s="76" t="n">
        <v>110.5447</v>
      </c>
      <c r="C319" s="77" t="n">
        <v>6796.8599</v>
      </c>
      <c r="D319" s="45" t="n">
        <f aca="false">B319/B318-1</f>
        <v>-0.0744556776556776</v>
      </c>
      <c r="E319" s="45" t="n">
        <f aca="false">C319/C318-1</f>
        <v>-0.0206267576163941</v>
      </c>
      <c r="F319" s="35"/>
      <c r="G319" s="35"/>
      <c r="H319" s="33"/>
      <c r="I319" s="33"/>
      <c r="J319" s="33"/>
      <c r="K319" s="33"/>
      <c r="L319" s="33"/>
    </row>
    <row r="320" customFormat="false" ht="15" hidden="false" customHeight="false" outlineLevel="0" collapsed="false">
      <c r="A320" s="36" t="s">
        <v>820</v>
      </c>
      <c r="B320" s="76" t="n">
        <v>112.7244</v>
      </c>
      <c r="C320" s="77" t="n">
        <v>6875.6201</v>
      </c>
      <c r="D320" s="45" t="n">
        <f aca="false">B320/B319-1</f>
        <v>0.0197178155081157</v>
      </c>
      <c r="E320" s="45" t="n">
        <f aca="false">C320/C319-1</f>
        <v>0.0115877333296217</v>
      </c>
      <c r="F320" s="35"/>
      <c r="G320" s="35"/>
      <c r="H320" s="33"/>
      <c r="I320" s="33"/>
      <c r="J320" s="33"/>
      <c r="K320" s="33"/>
      <c r="L320" s="33"/>
    </row>
    <row r="321" customFormat="false" ht="15" hidden="false" customHeight="false" outlineLevel="0" collapsed="false">
      <c r="A321" s="36" t="s">
        <v>821</v>
      </c>
      <c r="B321" s="76" t="n">
        <v>116.6159</v>
      </c>
      <c r="C321" s="77" t="n">
        <v>6913.3501</v>
      </c>
      <c r="D321" s="45" t="n">
        <f aca="false">B321/B320-1</f>
        <v>0.0345222507283249</v>
      </c>
      <c r="E321" s="45" t="n">
        <f aca="false">C321/C320-1</f>
        <v>0.00548750504699935</v>
      </c>
      <c r="F321" s="35"/>
      <c r="G321" s="35"/>
      <c r="H321" s="33"/>
      <c r="I321" s="33"/>
      <c r="J321" s="33"/>
      <c r="K321" s="33"/>
      <c r="L321" s="33"/>
    </row>
    <row r="322" customFormat="false" ht="15" hidden="false" customHeight="false" outlineLevel="0" collapsed="false">
      <c r="A322" s="36" t="s">
        <v>822</v>
      </c>
      <c r="B322" s="76" t="n">
        <v>114.8841</v>
      </c>
      <c r="C322" s="77" t="n">
        <v>6915.6099</v>
      </c>
      <c r="D322" s="45" t="n">
        <f aca="false">B322/B321-1</f>
        <v>-0.0148504620724961</v>
      </c>
      <c r="E322" s="45" t="n">
        <f aca="false">C322/C321-1</f>
        <v>0.00032687480994209</v>
      </c>
      <c r="F322" s="35"/>
      <c r="G322" s="35"/>
      <c r="H322" s="33"/>
      <c r="I322" s="33"/>
      <c r="J322" s="33"/>
      <c r="K322" s="33"/>
      <c r="L322" s="33"/>
    </row>
    <row r="323" customFormat="false" ht="15" hidden="false" customHeight="false" outlineLevel="0" collapsed="false">
      <c r="A323" s="36" t="s">
        <v>823</v>
      </c>
      <c r="B323" s="76" t="n">
        <v>115.3817</v>
      </c>
      <c r="C323" s="77" t="n">
        <v>6950.23</v>
      </c>
      <c r="D323" s="45" t="n">
        <f aca="false">B323/B322-1</f>
        <v>0.00433132174078033</v>
      </c>
      <c r="E323" s="45" t="n">
        <f aca="false">C323/C322-1</f>
        <v>0.00500608051937679</v>
      </c>
      <c r="F323" s="35"/>
      <c r="G323" s="35"/>
      <c r="H323" s="33"/>
      <c r="I323" s="33"/>
      <c r="J323" s="33"/>
      <c r="K323" s="33"/>
      <c r="L323" s="33"/>
    </row>
    <row r="324" customFormat="false" ht="15" hidden="false" customHeight="false" outlineLevel="0" collapsed="false">
      <c r="A324" s="36" t="s">
        <v>824</v>
      </c>
      <c r="B324" s="76" t="n">
        <v>114.1177</v>
      </c>
      <c r="C324" s="77" t="n">
        <v>6978.6001</v>
      </c>
      <c r="D324" s="45" t="n">
        <f aca="false">B324/B323-1</f>
        <v>-0.0109549434615714</v>
      </c>
      <c r="E324" s="45" t="n">
        <f aca="false">C324/C323-1</f>
        <v>0.00408189369272671</v>
      </c>
      <c r="F324" s="35"/>
      <c r="G324" s="35"/>
      <c r="H324" s="33"/>
      <c r="I324" s="33"/>
      <c r="J324" s="33"/>
      <c r="K324" s="33"/>
      <c r="L324" s="33"/>
    </row>
    <row r="325" customFormat="false" ht="15" hidden="false" customHeight="false" outlineLevel="0" collapsed="false">
      <c r="A325" s="36" t="s">
        <v>825</v>
      </c>
      <c r="B325" s="76" t="n">
        <v>116.7652</v>
      </c>
      <c r="C325" s="77" t="n">
        <v>6978.0298</v>
      </c>
      <c r="D325" s="45" t="n">
        <f aca="false">B325/B324-1</f>
        <v>0.0231997315052792</v>
      </c>
      <c r="E325" s="45" t="n">
        <f aca="false">C325/C324-1</f>
        <v>-8.17212609731666E-005</v>
      </c>
      <c r="F325" s="35"/>
      <c r="G325" s="35"/>
      <c r="H325" s="33"/>
      <c r="I325" s="33"/>
      <c r="J325" s="33"/>
      <c r="K325" s="33"/>
      <c r="L325" s="33"/>
    </row>
    <row r="326" customFormat="false" ht="15" hidden="false" customHeight="false" outlineLevel="0" collapsed="false">
      <c r="A326" s="36" t="s">
        <v>826</v>
      </c>
      <c r="B326" s="76" t="n">
        <v>117.9296</v>
      </c>
      <c r="C326" s="77" t="n">
        <v>6969.0098</v>
      </c>
      <c r="D326" s="45" t="n">
        <f aca="false">B326/B325-1</f>
        <v>0.00997214923624501</v>
      </c>
      <c r="E326" s="45" t="n">
        <f aca="false">C326/C325-1</f>
        <v>-0.00129262847229461</v>
      </c>
      <c r="F326" s="35"/>
      <c r="G326" s="35"/>
      <c r="H326" s="33"/>
      <c r="I326" s="33"/>
      <c r="J326" s="33"/>
      <c r="K326" s="33"/>
      <c r="L326" s="33"/>
    </row>
    <row r="327" customFormat="false" ht="15" hidden="false" customHeight="false" outlineLevel="0" collapsed="false">
      <c r="A327" s="36" t="s">
        <v>827</v>
      </c>
      <c r="B327" s="76" t="n">
        <v>113.8988</v>
      </c>
      <c r="C327" s="77" t="n">
        <v>6939.0298</v>
      </c>
      <c r="D327" s="45" t="n">
        <f aca="false">B327/B326-1</f>
        <v>-0.0341797139988603</v>
      </c>
      <c r="E327" s="45" t="n">
        <f aca="false">C327/C326-1</f>
        <v>-0.00430190240226092</v>
      </c>
      <c r="F327" s="35"/>
      <c r="G327" s="35"/>
      <c r="H327" s="33"/>
      <c r="I327" s="33"/>
      <c r="J327" s="33"/>
      <c r="K327" s="33"/>
      <c r="L327" s="33"/>
    </row>
    <row r="328" customFormat="false" ht="15" hidden="false" customHeight="false" outlineLevel="0" collapsed="false">
      <c r="A328" s="36" t="s">
        <v>828</v>
      </c>
      <c r="B328" s="76" t="n">
        <v>118.5965</v>
      </c>
      <c r="C328" s="77" t="n">
        <v>6976.4399</v>
      </c>
      <c r="D328" s="45" t="n">
        <f aca="false">B328/B327-1</f>
        <v>0.0412445082827915</v>
      </c>
      <c r="E328" s="45" t="n">
        <f aca="false">C328/C327-1</f>
        <v>0.00539125801131446</v>
      </c>
      <c r="F328" s="35"/>
      <c r="G328" s="35"/>
      <c r="H328" s="33"/>
      <c r="I328" s="33"/>
      <c r="J328" s="33"/>
      <c r="K328" s="33"/>
      <c r="L328" s="33"/>
    </row>
    <row r="329" customFormat="false" ht="15" hidden="false" customHeight="false" outlineLevel="0" collapsed="false">
      <c r="A329" s="36" t="s">
        <v>829</v>
      </c>
      <c r="B329" s="76" t="n">
        <v>116.596</v>
      </c>
      <c r="C329" s="77" t="n">
        <v>6917.8101</v>
      </c>
      <c r="D329" s="45" t="n">
        <f aca="false">B329/B328-1</f>
        <v>-0.0168681200541332</v>
      </c>
      <c r="E329" s="45" t="n">
        <f aca="false">C329/C328-1</f>
        <v>-0.00840397120026803</v>
      </c>
      <c r="F329" s="35"/>
      <c r="G329" s="35"/>
      <c r="H329" s="33"/>
      <c r="I329" s="33"/>
      <c r="J329" s="33"/>
      <c r="K329" s="33"/>
      <c r="L329" s="33"/>
    </row>
    <row r="330" customFormat="false" ht="15" hidden="false" customHeight="false" outlineLevel="0" collapsed="false">
      <c r="A330" s="36" t="s">
        <v>830</v>
      </c>
      <c r="B330" s="76" t="n">
        <v>121.4628</v>
      </c>
      <c r="C330" s="77" t="n">
        <v>6882.7202</v>
      </c>
      <c r="D330" s="45" t="n">
        <f aca="false">B330/B329-1</f>
        <v>0.0417407115166901</v>
      </c>
      <c r="E330" s="45" t="n">
        <f aca="false">C330/C329-1</f>
        <v>-0.00507240000704845</v>
      </c>
      <c r="F330" s="35"/>
      <c r="G330" s="35"/>
      <c r="H330" s="33"/>
      <c r="I330" s="33"/>
      <c r="J330" s="33"/>
      <c r="K330" s="33"/>
      <c r="L330" s="33"/>
    </row>
    <row r="331" customFormat="false" ht="15" hidden="false" customHeight="false" outlineLevel="0" collapsed="false">
      <c r="A331" s="36" t="s">
        <v>831</v>
      </c>
      <c r="B331" s="76" t="n">
        <v>114.8443</v>
      </c>
      <c r="C331" s="77" t="n">
        <v>6798.3999</v>
      </c>
      <c r="D331" s="45" t="n">
        <f aca="false">B331/B330-1</f>
        <v>-0.0544899343667361</v>
      </c>
      <c r="E331" s="45" t="n">
        <f aca="false">C331/C330-1</f>
        <v>-0.0122510137779536</v>
      </c>
      <c r="F331" s="35"/>
      <c r="G331" s="35"/>
      <c r="H331" s="33"/>
      <c r="I331" s="33"/>
      <c r="J331" s="33"/>
      <c r="K331" s="33"/>
      <c r="L331" s="33"/>
    </row>
    <row r="332" customFormat="false" ht="15" hidden="false" customHeight="false" outlineLevel="0" collapsed="false">
      <c r="A332" s="36" t="s">
        <v>832</v>
      </c>
      <c r="B332" s="76" t="n">
        <v>120.4775</v>
      </c>
      <c r="C332" s="77" t="n">
        <v>6932.2998</v>
      </c>
      <c r="D332" s="45" t="n">
        <f aca="false">B332/B331-1</f>
        <v>0.049050758287525</v>
      </c>
      <c r="E332" s="45" t="n">
        <f aca="false">C332/C331-1</f>
        <v>0.0196957963593756</v>
      </c>
      <c r="F332" s="35"/>
      <c r="G332" s="35"/>
      <c r="H332" s="33"/>
      <c r="I332" s="33"/>
      <c r="J332" s="33"/>
      <c r="K332" s="33"/>
      <c r="L332" s="33"/>
    </row>
    <row r="333" customFormat="false" ht="15" hidden="false" customHeight="false" outlineLevel="0" collapsed="false">
      <c r="A333" s="36" t="s">
        <v>833</v>
      </c>
      <c r="B333" s="76" t="n">
        <v>120.3382</v>
      </c>
      <c r="C333" s="77" t="n">
        <v>6964.8198</v>
      </c>
      <c r="D333" s="45" t="n">
        <f aca="false">B333/B332-1</f>
        <v>-0.00115623249154406</v>
      </c>
      <c r="E333" s="45" t="n">
        <f aca="false">C333/C332-1</f>
        <v>0.00469108390263218</v>
      </c>
      <c r="F333" s="35"/>
      <c r="G333" s="35"/>
      <c r="H333" s="33"/>
      <c r="I333" s="33"/>
      <c r="J333" s="33"/>
      <c r="K333" s="33"/>
      <c r="L333" s="33"/>
    </row>
    <row r="334" customFormat="false" ht="15" hidden="false" customHeight="false" outlineLevel="0" collapsed="false">
      <c r="A334" s="36" t="s">
        <v>834</v>
      </c>
      <c r="B334" s="76" t="n">
        <v>125.4141</v>
      </c>
      <c r="C334" s="77" t="n">
        <v>6941.8101</v>
      </c>
      <c r="D334" s="45" t="n">
        <f aca="false">B334/B333-1</f>
        <v>0.042180288553427</v>
      </c>
      <c r="E334" s="45" t="n">
        <f aca="false">C334/C333-1</f>
        <v>-0.00330370356459198</v>
      </c>
      <c r="F334" s="35"/>
      <c r="G334" s="35"/>
      <c r="H334" s="33"/>
      <c r="I334" s="33"/>
      <c r="J334" s="33"/>
      <c r="K334" s="33"/>
      <c r="L334" s="33"/>
    </row>
    <row r="335" customFormat="false" ht="15" hidden="false" customHeight="false" outlineLevel="0" collapsed="false">
      <c r="A335" s="36" t="s">
        <v>835</v>
      </c>
      <c r="B335" s="76" t="n">
        <v>123.5728</v>
      </c>
      <c r="C335" s="77" t="n">
        <v>6941.4702</v>
      </c>
      <c r="D335" s="45" t="n">
        <f aca="false">B335/B334-1</f>
        <v>-0.0146817622579918</v>
      </c>
      <c r="E335" s="45" t="n">
        <f aca="false">C335/C334-1</f>
        <v>-4.89641743440794E-005</v>
      </c>
      <c r="F335" s="35"/>
      <c r="G335" s="35"/>
      <c r="H335" s="33"/>
      <c r="I335" s="33"/>
      <c r="J335" s="33"/>
      <c r="K335" s="33"/>
      <c r="L335" s="33"/>
    </row>
    <row r="336" customFormat="false" ht="15" hidden="false" customHeight="false" outlineLevel="0" collapsed="false">
      <c r="A336" s="36" t="s">
        <v>836</v>
      </c>
      <c r="B336" s="76" t="n">
        <v>112.2864</v>
      </c>
      <c r="C336" s="77" t="n">
        <v>6832.7598</v>
      </c>
      <c r="D336" s="45" t="n">
        <f aca="false">B336/B335-1</f>
        <v>-0.0913340152525475</v>
      </c>
      <c r="E336" s="45" t="n">
        <f aca="false">C336/C335-1</f>
        <v>-0.0156610050706549</v>
      </c>
      <c r="F336" s="35"/>
      <c r="G336" s="35"/>
      <c r="H336" s="33"/>
      <c r="I336" s="33"/>
      <c r="J336" s="33"/>
      <c r="K336" s="33"/>
      <c r="L336" s="33"/>
    </row>
    <row r="337" customFormat="false" ht="15" hidden="false" customHeight="false" outlineLevel="0" collapsed="false">
      <c r="A337" s="36" t="s">
        <v>837</v>
      </c>
      <c r="B337" s="76" t="n">
        <v>116.9344</v>
      </c>
      <c r="C337" s="77" t="n">
        <v>6836.1699</v>
      </c>
      <c r="D337" s="45" t="n">
        <f aca="false">B337/B336-1</f>
        <v>0.0413941492469256</v>
      </c>
      <c r="E337" s="45" t="n">
        <f aca="false">C337/C336-1</f>
        <v>0.000499080913103356</v>
      </c>
      <c r="F337" s="35"/>
      <c r="G337" s="35"/>
      <c r="H337" s="33"/>
      <c r="I337" s="33"/>
      <c r="J337" s="33"/>
      <c r="K337" s="33"/>
      <c r="L337" s="33"/>
    </row>
    <row r="338" customFormat="false" ht="15" hidden="false" customHeight="false" outlineLevel="0" collapsed="false">
      <c r="A338" s="36" t="s">
        <v>838</v>
      </c>
      <c r="B338" s="76" t="n">
        <v>115.541</v>
      </c>
      <c r="C338" s="77" t="n">
        <v>6843.2202</v>
      </c>
      <c r="D338" s="45" t="n">
        <f aca="false">B338/B337-1</f>
        <v>-0.0119160828635543</v>
      </c>
      <c r="E338" s="45" t="n">
        <f aca="false">C338/C337-1</f>
        <v>0.00103132310974297</v>
      </c>
      <c r="F338" s="35"/>
      <c r="G338" s="35"/>
      <c r="H338" s="33"/>
      <c r="I338" s="33"/>
      <c r="J338" s="33"/>
      <c r="K338" s="33"/>
      <c r="L338" s="33"/>
    </row>
    <row r="339" customFormat="false" ht="15" hidden="false" customHeight="false" outlineLevel="0" collapsed="false">
      <c r="A339" s="36" t="s">
        <v>839</v>
      </c>
      <c r="B339" s="76" t="n">
        <v>116.2277</v>
      </c>
      <c r="C339" s="77" t="n">
        <v>6881.3101</v>
      </c>
      <c r="D339" s="45" t="n">
        <f aca="false">B339/B338-1</f>
        <v>0.005943344786699</v>
      </c>
      <c r="E339" s="45" t="n">
        <f aca="false">C339/C338-1</f>
        <v>0.00556607837929857</v>
      </c>
      <c r="F339" s="35"/>
      <c r="G339" s="35"/>
      <c r="H339" s="33"/>
      <c r="I339" s="33"/>
      <c r="J339" s="33"/>
      <c r="K339" s="33"/>
      <c r="L339" s="33"/>
    </row>
    <row r="340" customFormat="false" ht="15" hidden="false" customHeight="false" outlineLevel="0" collapsed="false">
      <c r="A340" s="36" t="s">
        <v>840</v>
      </c>
      <c r="B340" s="76" t="n">
        <v>118.4969</v>
      </c>
      <c r="C340" s="77" t="n">
        <v>6861.8901</v>
      </c>
      <c r="D340" s="45" t="n">
        <f aca="false">B340/B339-1</f>
        <v>0.0195237452001544</v>
      </c>
      <c r="E340" s="45" t="n">
        <f aca="false">C340/C339-1</f>
        <v>-0.00282213702300671</v>
      </c>
      <c r="F340" s="35"/>
      <c r="G340" s="35"/>
      <c r="H340" s="33"/>
      <c r="I340" s="33"/>
      <c r="J340" s="33"/>
      <c r="K340" s="33"/>
      <c r="L340" s="33"/>
    </row>
    <row r="341" customFormat="false" ht="15" hidden="false" customHeight="false" outlineLevel="0" collapsed="false">
      <c r="A341" s="36" t="s">
        <v>841</v>
      </c>
      <c r="B341" s="76" t="n">
        <v>121.6918</v>
      </c>
      <c r="C341" s="77" t="n">
        <v>6909.5098</v>
      </c>
      <c r="D341" s="45" t="n">
        <f aca="false">B341/B340-1</f>
        <v>0.0269618867666581</v>
      </c>
      <c r="E341" s="45" t="n">
        <f aca="false">C341/C340-1</f>
        <v>0.00693973516130786</v>
      </c>
      <c r="F341" s="35"/>
      <c r="G341" s="35"/>
      <c r="H341" s="33"/>
      <c r="I341" s="33"/>
      <c r="J341" s="33"/>
      <c r="K341" s="33"/>
      <c r="L341" s="33"/>
    </row>
    <row r="342" customFormat="false" ht="15" hidden="false" customHeight="false" outlineLevel="0" collapsed="false">
      <c r="A342" s="36" t="s">
        <v>842</v>
      </c>
      <c r="B342" s="76" t="n">
        <v>118.5766</v>
      </c>
      <c r="C342" s="77" t="n">
        <v>6837.75</v>
      </c>
      <c r="D342" s="45" t="n">
        <f aca="false">B342/B341-1</f>
        <v>-0.0255990954197407</v>
      </c>
      <c r="E342" s="45" t="n">
        <f aca="false">C342/C341-1</f>
        <v>-0.0103856571706432</v>
      </c>
      <c r="F342" s="35"/>
      <c r="G342" s="35"/>
      <c r="H342" s="33"/>
      <c r="I342" s="33"/>
      <c r="J342" s="33"/>
      <c r="K342" s="33"/>
      <c r="L342" s="33"/>
    </row>
    <row r="343" customFormat="false" ht="15" hidden="false" customHeight="false" outlineLevel="0" collapsed="false">
      <c r="A343" s="36" t="s">
        <v>843</v>
      </c>
      <c r="B343" s="76" t="n">
        <v>119.2135</v>
      </c>
      <c r="C343" s="77" t="n">
        <v>6890.0698</v>
      </c>
      <c r="D343" s="45" t="n">
        <f aca="false">B343/B342-1</f>
        <v>0.00537121152065412</v>
      </c>
      <c r="E343" s="45" t="n">
        <f aca="false">C343/C342-1</f>
        <v>0.00765161054440422</v>
      </c>
      <c r="F343" s="35"/>
      <c r="G343" s="35"/>
      <c r="H343" s="33"/>
      <c r="I343" s="33"/>
      <c r="J343" s="33"/>
      <c r="K343" s="33"/>
      <c r="L343" s="33"/>
    </row>
    <row r="344" customFormat="false" ht="15" hidden="false" customHeight="false" outlineLevel="0" collapsed="false">
      <c r="A344" s="36" t="s">
        <v>844</v>
      </c>
      <c r="B344" s="76" t="n">
        <v>122.896</v>
      </c>
      <c r="C344" s="77" t="n">
        <v>6946.1299</v>
      </c>
      <c r="D344" s="45" t="n">
        <f aca="false">B344/B343-1</f>
        <v>0.0308899579326167</v>
      </c>
      <c r="E344" s="45" t="n">
        <f aca="false">C344/C343-1</f>
        <v>0.00813636169549392</v>
      </c>
      <c r="F344" s="35"/>
      <c r="G344" s="35"/>
      <c r="H344" s="33"/>
      <c r="I344" s="33"/>
      <c r="J344" s="33"/>
      <c r="K344" s="33"/>
      <c r="L344" s="33"/>
    </row>
    <row r="345" customFormat="false" ht="15" hidden="false" customHeight="false" outlineLevel="0" collapsed="false">
      <c r="A345" s="36" t="s">
        <v>845</v>
      </c>
      <c r="B345" s="76" t="n">
        <v>120.8756</v>
      </c>
      <c r="C345" s="77" t="n">
        <v>6908.8599</v>
      </c>
      <c r="D345" s="45" t="n">
        <f aca="false">B345/B344-1</f>
        <v>-0.0164399166775159</v>
      </c>
      <c r="E345" s="45" t="n">
        <f aca="false">C345/C344-1</f>
        <v>-0.00536557774423418</v>
      </c>
      <c r="F345" s="35"/>
      <c r="G345" s="35"/>
      <c r="H345" s="33"/>
      <c r="I345" s="33"/>
      <c r="J345" s="33"/>
      <c r="K345" s="33"/>
      <c r="L345" s="33"/>
    </row>
    <row r="346" customFormat="false" ht="15" hidden="false" customHeight="false" outlineLevel="0" collapsed="false">
      <c r="A346" s="36" t="s">
        <v>846</v>
      </c>
      <c r="B346" s="76" t="n">
        <v>147.3797</v>
      </c>
      <c r="C346" s="77" t="n">
        <v>6878.8799</v>
      </c>
      <c r="D346" s="45" t="n">
        <f aca="false">B346/B345-1</f>
        <v>0.219267577575623</v>
      </c>
      <c r="E346" s="45" t="n">
        <f aca="false">C346/C345-1</f>
        <v>-0.00433935561495469</v>
      </c>
      <c r="F346" s="35"/>
      <c r="G346" s="35"/>
      <c r="H346" s="33"/>
      <c r="I346" s="33"/>
      <c r="J346" s="33"/>
      <c r="K346" s="33"/>
      <c r="L346" s="33"/>
    </row>
    <row r="347" customFormat="false" ht="15" hidden="false" customHeight="false" outlineLevel="0" collapsed="false">
      <c r="A347" s="36" t="s">
        <v>847</v>
      </c>
      <c r="B347" s="76" t="n">
        <v>152.8238</v>
      </c>
      <c r="C347" s="77" t="n">
        <v>6881.6201</v>
      </c>
      <c r="D347" s="45" t="n">
        <f aca="false">B347/B346-1</f>
        <v>0.0369392799686794</v>
      </c>
      <c r="E347" s="45" t="n">
        <f aca="false">C347/C346-1</f>
        <v>0.000398349737142478</v>
      </c>
      <c r="F347" s="35"/>
      <c r="G347" s="35"/>
      <c r="H347" s="33"/>
      <c r="I347" s="33"/>
      <c r="J347" s="33"/>
      <c r="K347" s="33"/>
      <c r="L347" s="33"/>
    </row>
    <row r="348" customFormat="false" ht="15" hidden="false" customHeight="false" outlineLevel="0" collapsed="false">
      <c r="A348" s="36" t="s">
        <v>848</v>
      </c>
      <c r="B348" s="76" t="n">
        <v>144.4934</v>
      </c>
      <c r="C348" s="77" t="n">
        <v>6816.6299</v>
      </c>
      <c r="D348" s="45" t="n">
        <f aca="false">B348/B347-1</f>
        <v>-0.0545098342012174</v>
      </c>
      <c r="E348" s="45" t="n">
        <f aca="false">C348/C347-1</f>
        <v>-0.00944402612402273</v>
      </c>
      <c r="F348" s="35"/>
      <c r="G348" s="35"/>
      <c r="H348" s="33"/>
      <c r="I348" s="33"/>
      <c r="J348" s="33"/>
      <c r="K348" s="33"/>
      <c r="L348" s="33"/>
    </row>
    <row r="349" customFormat="false" ht="15" hidden="false" customHeight="false" outlineLevel="0" collapsed="false">
      <c r="A349" s="36" t="s">
        <v>849</v>
      </c>
      <c r="B349" s="76" t="n">
        <v>146.4043</v>
      </c>
      <c r="C349" s="77" t="n">
        <v>6869.5</v>
      </c>
      <c r="D349" s="45" t="n">
        <f aca="false">B349/B348-1</f>
        <v>0.0132248254937595</v>
      </c>
      <c r="E349" s="45" t="n">
        <f aca="false">C349/C348-1</f>
        <v>0.00775604672332286</v>
      </c>
      <c r="F349" s="35"/>
      <c r="G349" s="35"/>
      <c r="H349" s="33"/>
      <c r="I349" s="33"/>
      <c r="J349" s="33"/>
      <c r="K349" s="33"/>
      <c r="L349" s="33"/>
    </row>
    <row r="350" customFormat="false" ht="15" hidden="false" customHeight="false" outlineLevel="0" collapsed="false">
      <c r="A350" s="36" t="s">
        <v>850</v>
      </c>
      <c r="B350" s="76" t="n">
        <v>145.8271</v>
      </c>
      <c r="C350" s="77" t="n">
        <v>6830.71</v>
      </c>
      <c r="D350" s="45" t="n">
        <f aca="false">B350/B349-1</f>
        <v>-0.00394250715313693</v>
      </c>
      <c r="E350" s="45" t="n">
        <f aca="false">C350/C349-1</f>
        <v>-0.00564669917752381</v>
      </c>
      <c r="F350" s="35"/>
      <c r="G350" s="35"/>
      <c r="H350" s="33"/>
      <c r="I350" s="33"/>
      <c r="J350" s="33"/>
      <c r="K350" s="33"/>
      <c r="L350" s="33"/>
    </row>
    <row r="351" customFormat="false" ht="15" hidden="false" customHeight="false" outlineLevel="0" collapsed="false">
      <c r="A351" s="36" t="s">
        <v>851</v>
      </c>
      <c r="B351" s="76" t="n">
        <v>145.7873</v>
      </c>
      <c r="C351" s="77" t="n">
        <v>6740.02</v>
      </c>
      <c r="D351" s="45" t="n">
        <f aca="false">B351/B350-1</f>
        <v>-0.000272925951349312</v>
      </c>
      <c r="E351" s="45" t="n">
        <f aca="false">C351/C350-1</f>
        <v>-0.013276804314632</v>
      </c>
      <c r="F351" s="35"/>
      <c r="G351" s="35"/>
      <c r="H351" s="33"/>
      <c r="I351" s="33"/>
      <c r="J351" s="33"/>
      <c r="K351" s="33"/>
      <c r="L351" s="33"/>
    </row>
    <row r="352" customFormat="false" ht="15" hidden="false" customHeight="false" outlineLevel="0" collapsed="false">
      <c r="A352" s="36" t="s">
        <v>852</v>
      </c>
      <c r="B352" s="76" t="n">
        <v>145.8171</v>
      </c>
      <c r="C352" s="77" t="n">
        <v>6795.9902</v>
      </c>
      <c r="D352" s="45" t="n">
        <f aca="false">B352/B351-1</f>
        <v>0.000204407379792437</v>
      </c>
      <c r="E352" s="45" t="n">
        <f aca="false">C352/C351-1</f>
        <v>0.00830415933483875</v>
      </c>
      <c r="F352" s="35"/>
      <c r="G352" s="35"/>
      <c r="H352" s="33"/>
      <c r="I352" s="33"/>
      <c r="J352" s="33"/>
      <c r="K352" s="33"/>
      <c r="L352" s="33"/>
    </row>
    <row r="353" customFormat="false" ht="15" hidden="false" customHeight="false" outlineLevel="0" collapsed="false">
      <c r="A353" s="36" t="s">
        <v>853</v>
      </c>
      <c r="B353" s="76" t="n">
        <v>143.1199</v>
      </c>
      <c r="C353" s="77" t="n">
        <v>6781.48</v>
      </c>
      <c r="D353" s="45" t="n">
        <f aca="false">B353/B352-1</f>
        <v>-0.018497144710737</v>
      </c>
      <c r="E353" s="45" t="n">
        <f aca="false">C353/C352-1</f>
        <v>-0.00213511196646521</v>
      </c>
      <c r="F353" s="35"/>
      <c r="G353" s="35"/>
      <c r="H353" s="33"/>
      <c r="I353" s="33"/>
      <c r="J353" s="33"/>
      <c r="K353" s="33"/>
      <c r="L353" s="33"/>
    </row>
    <row r="354" customFormat="false" ht="15" hidden="false" customHeight="false" outlineLevel="0" collapsed="false">
      <c r="A354" s="36" t="s">
        <v>854</v>
      </c>
      <c r="B354" s="76" t="n">
        <v>146.673</v>
      </c>
      <c r="C354" s="77" t="n">
        <v>6775.7998</v>
      </c>
      <c r="D354" s="45" t="n">
        <f aca="false">B354/B353-1</f>
        <v>0.0248260374692828</v>
      </c>
      <c r="E354" s="45" t="n">
        <f aca="false">C354/C353-1</f>
        <v>-0.000837604770639988</v>
      </c>
      <c r="F354" s="35"/>
      <c r="G354" s="35"/>
      <c r="H354" s="33"/>
      <c r="I354" s="33"/>
      <c r="J354" s="33"/>
      <c r="K354" s="33"/>
      <c r="L354" s="33"/>
    </row>
    <row r="355" customFormat="false" ht="15" hidden="false" customHeight="false" outlineLevel="0" collapsed="false">
      <c r="A355" s="36" t="s">
        <v>855</v>
      </c>
      <c r="B355" s="76" t="n">
        <v>149.201</v>
      </c>
      <c r="C355" s="77" t="n">
        <v>6672.6201</v>
      </c>
      <c r="D355" s="45" t="n">
        <f aca="false">B355/B354-1</f>
        <v>0.0172356193709817</v>
      </c>
      <c r="E355" s="45" t="n">
        <f aca="false">C355/C354-1</f>
        <v>-0.0152276783620436</v>
      </c>
      <c r="F355" s="35"/>
      <c r="G355" s="35"/>
      <c r="H355" s="33"/>
      <c r="I355" s="33"/>
      <c r="J355" s="33"/>
      <c r="K355" s="33"/>
      <c r="L355" s="33"/>
    </row>
    <row r="356" customFormat="false" ht="15" hidden="false" customHeight="false" outlineLevel="0" collapsed="false">
      <c r="A356" s="36" t="s">
        <v>856</v>
      </c>
      <c r="B356" s="76" t="n">
        <v>150.903</v>
      </c>
      <c r="C356" s="77" t="n">
        <v>6632.1899</v>
      </c>
      <c r="D356" s="45" t="n">
        <f aca="false">B356/B355-1</f>
        <v>0.0114074302451055</v>
      </c>
      <c r="E356" s="45" t="n">
        <f aca="false">C356/C355-1</f>
        <v>-0.00605911911574286</v>
      </c>
      <c r="F356" s="35"/>
      <c r="G356" s="35"/>
      <c r="H356" s="33"/>
      <c r="I356" s="33"/>
      <c r="J356" s="33"/>
      <c r="K356" s="33"/>
      <c r="L356" s="33"/>
    </row>
    <row r="357" customFormat="false" ht="15" hidden="false" customHeight="false" outlineLevel="0" collapsed="false">
      <c r="A357" s="36" t="s">
        <v>857</v>
      </c>
      <c r="B357" s="76" t="n">
        <v>155.7997</v>
      </c>
      <c r="C357" s="77" t="n">
        <v>6699.3799</v>
      </c>
      <c r="D357" s="45" t="n">
        <f aca="false">B357/B356-1</f>
        <v>0.0324493217497333</v>
      </c>
      <c r="E357" s="45" t="n">
        <f aca="false">C357/C356-1</f>
        <v>0.010130892060253</v>
      </c>
      <c r="F357" s="35"/>
      <c r="G357" s="35"/>
      <c r="H357" s="33"/>
      <c r="I357" s="33"/>
      <c r="J357" s="33"/>
      <c r="K357" s="33"/>
      <c r="L357" s="33"/>
    </row>
    <row r="358" customFormat="false" ht="15" hidden="false" customHeight="false" outlineLevel="0" collapsed="false">
      <c r="A358" s="36" t="s">
        <v>858</v>
      </c>
      <c r="B358" s="76" t="n">
        <v>152.2864</v>
      </c>
      <c r="C358" s="77" t="n">
        <v>6716.0898</v>
      </c>
      <c r="D358" s="45" t="n">
        <f aca="false">B358/B357-1</f>
        <v>-0.0225501076061123</v>
      </c>
      <c r="E358" s="45" t="n">
        <f aca="false">C358/C357-1</f>
        <v>0.00249424577340363</v>
      </c>
      <c r="F358" s="35"/>
      <c r="G358" s="35"/>
      <c r="H358" s="33"/>
      <c r="I358" s="33"/>
      <c r="J358" s="33"/>
      <c r="K358" s="33"/>
      <c r="L358" s="33"/>
    </row>
    <row r="359" customFormat="false" ht="15" hidden="false" customHeight="false" outlineLevel="0" collapsed="false">
      <c r="A359" s="36" t="s">
        <v>859</v>
      </c>
      <c r="B359" s="76" t="n">
        <v>148.5044</v>
      </c>
      <c r="C359" s="77" t="n">
        <v>6624.7002</v>
      </c>
      <c r="D359" s="45" t="n">
        <f aca="false">B359/B358-1</f>
        <v>-0.0248347849840825</v>
      </c>
      <c r="E359" s="45" t="n">
        <f aca="false">C359/C358-1</f>
        <v>-0.013607560756558</v>
      </c>
      <c r="F359" s="35"/>
      <c r="G359" s="35"/>
      <c r="H359" s="33"/>
      <c r="I359" s="33"/>
      <c r="J359" s="33"/>
      <c r="K359" s="33"/>
      <c r="L359" s="33"/>
    </row>
    <row r="360" customFormat="false" ht="15" hidden="false" customHeight="false" outlineLevel="0" collapsed="false">
      <c r="A360" s="36" t="s">
        <v>860</v>
      </c>
      <c r="B360" s="76" t="n">
        <v>156.0186</v>
      </c>
      <c r="C360" s="77" t="n">
        <v>6606.4902</v>
      </c>
      <c r="D360" s="45" t="n">
        <f aca="false">B360/B359-1</f>
        <v>0.0505991741658831</v>
      </c>
      <c r="E360" s="45" t="n">
        <f aca="false">C360/C359-1</f>
        <v>-0.00274880363642716</v>
      </c>
      <c r="F360" s="35"/>
      <c r="G360" s="35"/>
      <c r="H360" s="33"/>
      <c r="I360" s="33"/>
      <c r="J360" s="33"/>
      <c r="K360" s="33"/>
      <c r="L360" s="33"/>
    </row>
    <row r="361" customFormat="false" ht="15" hidden="false" customHeight="false" outlineLevel="0" collapsed="false">
      <c r="A361" s="36" t="s">
        <v>861</v>
      </c>
      <c r="B361" s="76" t="n">
        <v>156.9243</v>
      </c>
      <c r="C361" s="77" t="n">
        <v>6506.48</v>
      </c>
      <c r="D361" s="45" t="n">
        <f aca="false">B361/B360-1</f>
        <v>0.00580507708696265</v>
      </c>
      <c r="E361" s="45" t="n">
        <f aca="false">C361/C360-1</f>
        <v>-0.0151381742759568</v>
      </c>
      <c r="F361" s="35"/>
      <c r="G361" s="35"/>
      <c r="H361" s="33"/>
      <c r="I361" s="33"/>
      <c r="J361" s="33"/>
      <c r="K361" s="33"/>
      <c r="L361" s="33"/>
    </row>
    <row r="362" customFormat="false" ht="15" hidden="false" customHeight="false" outlineLevel="0" collapsed="false">
      <c r="A362" s="36" t="s">
        <v>862</v>
      </c>
      <c r="B362" s="76" t="n">
        <v>163.8116</v>
      </c>
      <c r="C362" s="77" t="n">
        <v>6581</v>
      </c>
      <c r="D362" s="45" t="n">
        <f aca="false">B362/B361-1</f>
        <v>0.0438893147842623</v>
      </c>
      <c r="E362" s="45" t="n">
        <f aca="false">C362/C361-1</f>
        <v>0.0114531974277952</v>
      </c>
      <c r="F362" s="35"/>
      <c r="G362" s="35"/>
      <c r="H362" s="33"/>
      <c r="I362" s="33"/>
      <c r="J362" s="33"/>
      <c r="K362" s="33"/>
      <c r="L362" s="33"/>
    </row>
    <row r="363" customFormat="false" ht="15" hidden="false" customHeight="false" outlineLevel="0" collapsed="false">
      <c r="A363" s="36" t="s">
        <v>863</v>
      </c>
      <c r="B363" s="76" t="n">
        <v>176.0733</v>
      </c>
      <c r="C363" s="77" t="n">
        <v>6556.3701</v>
      </c>
      <c r="D363" s="45" t="n">
        <f aca="false">B363/B362-1</f>
        <v>0.0748524524514747</v>
      </c>
      <c r="E363" s="45" t="n">
        <f aca="false">C363/C362-1</f>
        <v>-0.00374257711593984</v>
      </c>
      <c r="F363" s="35"/>
      <c r="G363" s="35"/>
      <c r="H363" s="33"/>
      <c r="I363" s="33"/>
      <c r="J363" s="33"/>
      <c r="K363" s="33"/>
      <c r="L363" s="33"/>
    </row>
    <row r="364" customFormat="false" ht="15" hidden="false" customHeight="false" outlineLevel="0" collapsed="false">
      <c r="A364" s="36" t="s">
        <v>864</v>
      </c>
      <c r="B364" s="76" t="n">
        <v>183.1398</v>
      </c>
      <c r="C364" s="77" t="n">
        <v>6591.8999</v>
      </c>
      <c r="D364" s="45" t="n">
        <f aca="false">B364/B363-1</f>
        <v>0.0401338533440336</v>
      </c>
      <c r="E364" s="45" t="n">
        <f aca="false">C364/C363-1</f>
        <v>0.00541912665973521</v>
      </c>
      <c r="F364" s="35"/>
      <c r="G364" s="35"/>
      <c r="H364" s="33"/>
      <c r="I364" s="33"/>
      <c r="J364" s="33"/>
      <c r="K364" s="33"/>
      <c r="L364" s="33"/>
    </row>
    <row r="365" customFormat="false" ht="15" hidden="false" customHeight="false" outlineLevel="0" collapsed="false">
      <c r="A365" s="36" t="s">
        <v>865</v>
      </c>
      <c r="B365" s="76" t="n">
        <v>174.9885</v>
      </c>
      <c r="C365" s="77" t="n">
        <v>6477.1602</v>
      </c>
      <c r="D365" s="45" t="n">
        <f aca="false">B365/B364-1</f>
        <v>-0.0445086212827579</v>
      </c>
      <c r="E365" s="45" t="n">
        <f aca="false">C365/C364-1</f>
        <v>-0.0174061654061222</v>
      </c>
      <c r="F365" s="35"/>
      <c r="G365" s="35"/>
      <c r="H365" s="33"/>
      <c r="I365" s="33"/>
      <c r="J365" s="33"/>
      <c r="K365" s="33"/>
      <c r="L365" s="33"/>
    </row>
    <row r="366" customFormat="false" ht="15" hidden="false" customHeight="false" outlineLevel="0" collapsed="false">
      <c r="A366" s="36" t="s">
        <v>866</v>
      </c>
      <c r="B366" s="76" t="n">
        <v>170.9975</v>
      </c>
      <c r="C366" s="77" t="n">
        <v>6368.8501</v>
      </c>
      <c r="D366" s="45" t="n">
        <f aca="false">B366/B365-1</f>
        <v>-0.0228072130454287</v>
      </c>
      <c r="E366" s="45" t="n">
        <f aca="false">C366/C365-1</f>
        <v>-0.0167218498007816</v>
      </c>
      <c r="F366" s="35"/>
      <c r="G366" s="35"/>
      <c r="H366" s="33"/>
      <c r="I366" s="33"/>
      <c r="J366" s="33"/>
      <c r="K366" s="33"/>
      <c r="L366" s="33"/>
    </row>
    <row r="367" customFormat="false" ht="15" hidden="false" customHeight="false" outlineLevel="0" collapsed="false">
      <c r="A367" s="36" t="s">
        <v>867</v>
      </c>
      <c r="B367" s="76" t="n">
        <v>163.8813</v>
      </c>
      <c r="C367" s="77" t="n">
        <v>6343.7202</v>
      </c>
      <c r="D367" s="45" t="n">
        <f aca="false">B367/B366-1</f>
        <v>-0.0416158130966826</v>
      </c>
      <c r="E367" s="45" t="n">
        <f aca="false">C367/C366-1</f>
        <v>-0.0039457515258523</v>
      </c>
      <c r="F367" s="35"/>
      <c r="G367" s="35"/>
      <c r="H367" s="33"/>
      <c r="I367" s="33"/>
      <c r="J367" s="33"/>
      <c r="K367" s="33"/>
      <c r="L367" s="33"/>
    </row>
    <row r="368" customFormat="false" ht="15" hidden="false" customHeight="false" outlineLevel="0" collapsed="false">
      <c r="A368" s="36" t="s">
        <v>868</v>
      </c>
      <c r="B368" s="76" t="n">
        <v>163.3538</v>
      </c>
      <c r="C368" s="77" t="n">
        <v>6528.52</v>
      </c>
      <c r="D368" s="45" t="n">
        <f aca="false">B368/B367-1</f>
        <v>-0.00321879311428452</v>
      </c>
      <c r="E368" s="45" t="n">
        <f aca="false">C368/C367-1</f>
        <v>0.0291311398002707</v>
      </c>
      <c r="F368" s="35"/>
      <c r="G368" s="35"/>
      <c r="H368" s="33"/>
      <c r="I368" s="33"/>
      <c r="J368" s="33"/>
      <c r="K368" s="33"/>
      <c r="L368" s="33"/>
    </row>
    <row r="369" customFormat="false" ht="15" hidden="false" customHeight="false" outlineLevel="0" collapsed="false">
      <c r="A369" s="36" t="s">
        <v>869</v>
      </c>
      <c r="B369" s="76" t="n">
        <v>168.579</v>
      </c>
      <c r="C369" s="77" t="n">
        <v>6575.3198</v>
      </c>
      <c r="D369" s="45" t="n">
        <f aca="false">B369/B368-1</f>
        <v>0.0319870122396908</v>
      </c>
      <c r="E369" s="45" t="n">
        <f aca="false">C369/C368-1</f>
        <v>0.0071685159883097</v>
      </c>
      <c r="F369" s="35"/>
      <c r="G369" s="35"/>
      <c r="H369" s="33"/>
      <c r="I369" s="33"/>
      <c r="J369" s="33"/>
      <c r="K369" s="33"/>
      <c r="L369" s="33"/>
    </row>
    <row r="370" customFormat="false" ht="15" hidden="false" customHeight="false" outlineLevel="0" collapsed="false">
      <c r="A370" s="36" t="s">
        <v>870</v>
      </c>
      <c r="B370" s="76" t="n">
        <v>173.5454</v>
      </c>
      <c r="C370" s="77" t="n">
        <v>6582.6899</v>
      </c>
      <c r="D370" s="45" t="n">
        <f aca="false">B370/B369-1</f>
        <v>0.0294603716951696</v>
      </c>
      <c r="E370" s="45" t="n">
        <f aca="false">C370/C369-1</f>
        <v>0.00112087323874355</v>
      </c>
      <c r="F370" s="35"/>
      <c r="G370" s="35"/>
      <c r="H370" s="33"/>
      <c r="I370" s="33"/>
      <c r="J370" s="33"/>
      <c r="K370" s="33"/>
      <c r="L370" s="33"/>
    </row>
    <row r="371" customFormat="false" ht="15" hidden="false" customHeight="false" outlineLevel="0" collapsed="false">
      <c r="A371" s="36" t="s">
        <v>871</v>
      </c>
      <c r="B371" s="76" t="n">
        <v>172.361</v>
      </c>
      <c r="C371" s="77" t="n">
        <v>6611.8301</v>
      </c>
      <c r="D371" s="45" t="n">
        <f aca="false">B371/B370-1</f>
        <v>-0.00682472713192062</v>
      </c>
      <c r="E371" s="45" t="n">
        <f aca="false">C371/C370-1</f>
        <v>0.00442679215376685</v>
      </c>
      <c r="F371" s="35"/>
      <c r="G371" s="35"/>
      <c r="H371" s="33"/>
      <c r="I371" s="33"/>
      <c r="J371" s="33"/>
      <c r="K371" s="33"/>
      <c r="L371" s="33"/>
    </row>
    <row r="372" customFormat="false" ht="15" hidden="false" customHeight="false" outlineLevel="0" collapsed="false">
      <c r="A372" s="36" t="s">
        <v>872</v>
      </c>
      <c r="B372" s="76" t="n">
        <v>176.8497</v>
      </c>
      <c r="C372" s="77" t="n">
        <v>6616.8501</v>
      </c>
      <c r="D372" s="45" t="n">
        <f aca="false">B372/B371-1</f>
        <v>0.0260424341933501</v>
      </c>
      <c r="E372" s="45" t="n">
        <f aca="false">C372/C371-1</f>
        <v>0.000759245159672073</v>
      </c>
      <c r="F372" s="35"/>
      <c r="G372" s="35"/>
      <c r="H372" s="33"/>
      <c r="I372" s="33"/>
      <c r="J372" s="33"/>
      <c r="K372" s="33"/>
      <c r="L372" s="33"/>
    </row>
    <row r="373" customFormat="false" ht="15" hidden="false" customHeight="false" outlineLevel="0" collapsed="false">
      <c r="A373" s="36" t="s">
        <v>873</v>
      </c>
      <c r="B373" s="76" t="n">
        <v>184.5929</v>
      </c>
      <c r="C373" s="77" t="n">
        <v>6782.8101</v>
      </c>
      <c r="D373" s="45" t="n">
        <f aca="false">B373/B372-1</f>
        <v>0.0437840720114311</v>
      </c>
      <c r="E373" s="45" t="n">
        <f aca="false">C373/C372-1</f>
        <v>0.0250814205387546</v>
      </c>
      <c r="F373" s="35"/>
      <c r="G373" s="35"/>
      <c r="H373" s="33"/>
      <c r="I373" s="33"/>
      <c r="J373" s="33"/>
      <c r="K373" s="33"/>
      <c r="L373" s="33"/>
    </row>
    <row r="374" customFormat="false" ht="15" hidden="false" customHeight="false" outlineLevel="0" collapsed="false">
      <c r="A374" s="36" t="s">
        <v>874</v>
      </c>
      <c r="B374" s="76" t="n">
        <v>180.6018</v>
      </c>
      <c r="C374" s="77" t="n">
        <v>6824.6602</v>
      </c>
      <c r="D374" s="45" t="n">
        <f aca="false">B374/B373-1</f>
        <v>-0.0216210916021147</v>
      </c>
      <c r="E374" s="45" t="n">
        <f aca="false">C374/C373-1</f>
        <v>0.00617002383717047</v>
      </c>
      <c r="F374" s="35"/>
      <c r="G374" s="35"/>
      <c r="H374" s="33"/>
      <c r="I374" s="33"/>
      <c r="J374" s="33"/>
      <c r="K374" s="33"/>
      <c r="L374" s="33"/>
    </row>
    <row r="375" customFormat="false" ht="15" hidden="false" customHeight="false" outlineLevel="0" collapsed="false">
      <c r="A375" s="36" t="s">
        <v>875</v>
      </c>
      <c r="B375" s="76" t="n">
        <v>176.9591</v>
      </c>
      <c r="C375" s="77" t="n">
        <v>6816.8901</v>
      </c>
      <c r="D375" s="45" t="n">
        <f aca="false">B375/B374-1</f>
        <v>-0.0201697878980165</v>
      </c>
      <c r="E375" s="45" t="n">
        <f aca="false">C375/C374-1</f>
        <v>-0.00113853287523391</v>
      </c>
      <c r="F375" s="35"/>
      <c r="G375" s="35"/>
      <c r="H375" s="33"/>
      <c r="I375" s="33"/>
      <c r="J375" s="33"/>
      <c r="K375" s="33"/>
      <c r="L375" s="33"/>
    </row>
    <row r="376" customFormat="false" ht="15" hidden="false" customHeight="false" outlineLevel="0" collapsed="false">
      <c r="A376" s="36" t="s">
        <v>876</v>
      </c>
      <c r="B376" s="76" t="n">
        <v>188.8924</v>
      </c>
      <c r="C376" s="77" t="n">
        <v>6886.2402</v>
      </c>
      <c r="D376" s="45" t="n">
        <f aca="false">B376/B375-1</f>
        <v>0.0674353565315375</v>
      </c>
      <c r="E376" s="45" t="n">
        <f aca="false">C376/C375-1</f>
        <v>0.0101732753473611</v>
      </c>
      <c r="F376" s="35"/>
      <c r="G376" s="35"/>
      <c r="H376" s="33"/>
      <c r="I376" s="33"/>
      <c r="J376" s="33"/>
      <c r="K376" s="33"/>
      <c r="L376" s="33"/>
    </row>
    <row r="377" customFormat="false" ht="15" hidden="false" customHeight="false" outlineLevel="0" collapsed="false">
      <c r="A377" s="36" t="s">
        <v>877</v>
      </c>
      <c r="B377" s="76" t="n">
        <v>183.6374</v>
      </c>
      <c r="C377" s="77" t="n">
        <v>6967.3799</v>
      </c>
      <c r="D377" s="45" t="n">
        <f aca="false">B377/B376-1</f>
        <v>-0.0278200711092664</v>
      </c>
      <c r="E377" s="45" t="n">
        <f aca="false">C377/C376-1</f>
        <v>0.0117828739113688</v>
      </c>
      <c r="F377" s="35"/>
      <c r="G377" s="35"/>
      <c r="H377" s="33"/>
      <c r="I377" s="33"/>
      <c r="J377" s="33"/>
      <c r="K377" s="33"/>
      <c r="L377" s="33"/>
    </row>
    <row r="378" customFormat="false" ht="15" hidden="false" customHeight="false" outlineLevel="0" collapsed="false">
      <c r="A378" s="36" t="s">
        <v>878</v>
      </c>
      <c r="B378" s="76" t="n">
        <v>176.4416</v>
      </c>
      <c r="C378" s="77" t="n">
        <v>7022.9502</v>
      </c>
      <c r="D378" s="45" t="n">
        <f aca="false">B378/B377-1</f>
        <v>-0.03918482836285</v>
      </c>
      <c r="E378" s="45" t="n">
        <f aca="false">C378/C377-1</f>
        <v>0.00797578154163814</v>
      </c>
      <c r="F378" s="35"/>
      <c r="G378" s="35"/>
      <c r="H378" s="33"/>
      <c r="I378" s="33"/>
      <c r="J378" s="33"/>
      <c r="K378" s="33"/>
      <c r="L378" s="33"/>
    </row>
    <row r="379" customFormat="false" ht="15" hidden="false" customHeight="false" outlineLevel="0" collapsed="false">
      <c r="A379" s="36" t="s">
        <v>879</v>
      </c>
      <c r="B379" s="76" t="n">
        <v>192.1768</v>
      </c>
      <c r="C379" s="77" t="n">
        <v>7041.2798</v>
      </c>
      <c r="D379" s="45" t="n">
        <f aca="false">B379/B378-1</f>
        <v>0.0891807827632485</v>
      </c>
      <c r="E379" s="45" t="n">
        <f aca="false">C379/C378-1</f>
        <v>0.00260995727977686</v>
      </c>
      <c r="F379" s="35"/>
      <c r="G379" s="35"/>
      <c r="H379" s="33"/>
      <c r="I379" s="33"/>
      <c r="J379" s="33"/>
      <c r="K379" s="33"/>
      <c r="L379" s="33"/>
    </row>
    <row r="380" customFormat="false" ht="15" hidden="false" customHeight="false" outlineLevel="0" collapsed="false">
      <c r="A380" s="36" t="s">
        <v>880</v>
      </c>
      <c r="B380" s="76" t="n">
        <v>195.6205</v>
      </c>
      <c r="C380" s="77" t="n">
        <v>7126.0601</v>
      </c>
      <c r="D380" s="45" t="n">
        <f aca="false">B380/B379-1</f>
        <v>0.0179194366853856</v>
      </c>
      <c r="E380" s="45" t="n">
        <f aca="false">C380/C379-1</f>
        <v>0.0120404674161647</v>
      </c>
      <c r="F380" s="35"/>
      <c r="G380" s="35"/>
      <c r="H380" s="33"/>
      <c r="I380" s="33"/>
      <c r="J380" s="33"/>
      <c r="K380" s="33"/>
      <c r="L380" s="33"/>
    </row>
    <row r="381" customFormat="false" ht="15" hidden="false" customHeight="false" outlineLevel="0" collapsed="false">
      <c r="A381" s="36" t="s">
        <v>881</v>
      </c>
      <c r="B381" s="76" t="n">
        <v>203.2741</v>
      </c>
      <c r="C381" s="77" t="n">
        <v>7109.1401</v>
      </c>
      <c r="D381" s="45" t="n">
        <f aca="false">B381/B380-1</f>
        <v>0.0391247338596927</v>
      </c>
      <c r="E381" s="45" t="n">
        <f aca="false">C381/C380-1</f>
        <v>-0.00237438356715514</v>
      </c>
      <c r="F381" s="35"/>
      <c r="G381" s="35"/>
      <c r="H381" s="33"/>
      <c r="I381" s="33"/>
      <c r="J381" s="33"/>
      <c r="K381" s="33"/>
      <c r="L381" s="33"/>
    </row>
    <row r="382" customFormat="false" ht="15" hidden="false" customHeight="false" outlineLevel="0" collapsed="false">
      <c r="A382" s="36" t="s">
        <v>882</v>
      </c>
      <c r="B382" s="76" t="n">
        <v>212.0097</v>
      </c>
      <c r="C382" s="77" t="n">
        <v>7064.0098</v>
      </c>
      <c r="D382" s="45" t="n">
        <f aca="false">B382/B381-1</f>
        <v>0.0429744861740871</v>
      </c>
      <c r="E382" s="45" t="n">
        <f aca="false">C382/C381-1</f>
        <v>-0.00634820799213109</v>
      </c>
      <c r="F382" s="35"/>
      <c r="G382" s="35"/>
      <c r="H382" s="33"/>
      <c r="I382" s="33"/>
      <c r="J382" s="33"/>
      <c r="K382" s="33"/>
      <c r="L382" s="33"/>
    </row>
    <row r="383" customFormat="false" ht="15" hidden="false" customHeight="false" outlineLevel="0" collapsed="false">
      <c r="A383" s="36" t="s">
        <v>883</v>
      </c>
      <c r="B383" s="76" t="n">
        <v>214.2959</v>
      </c>
      <c r="C383" s="77" t="n">
        <v>7137.8999</v>
      </c>
      <c r="D383" s="45" t="n">
        <f aca="false">B383/B382-1</f>
        <v>0.0107834688695847</v>
      </c>
      <c r="E383" s="45" t="n">
        <f aca="false">C383/C382-1</f>
        <v>0.0104600789200491</v>
      </c>
      <c r="F383" s="35"/>
      <c r="G383" s="35"/>
      <c r="H383" s="33"/>
      <c r="I383" s="33"/>
      <c r="J383" s="33"/>
      <c r="K383" s="33"/>
      <c r="L383" s="33"/>
    </row>
    <row r="384" customFormat="false" ht="15" hidden="false" customHeight="false" outlineLevel="0" collapsed="false">
      <c r="A384" s="36" t="s">
        <v>884</v>
      </c>
      <c r="B384" s="76" t="n">
        <v>211.79</v>
      </c>
      <c r="C384" s="77" t="n">
        <v>7108.3999</v>
      </c>
      <c r="D384" s="45" t="n">
        <f aca="false">B384/B383-1</f>
        <v>-0.0116936441621142</v>
      </c>
      <c r="E384" s="45" t="n">
        <f aca="false">C384/C383-1</f>
        <v>-0.00413286826843851</v>
      </c>
      <c r="F384" s="35"/>
      <c r="G384" s="35"/>
      <c r="H384" s="33"/>
      <c r="I384" s="33"/>
      <c r="J384" s="33"/>
      <c r="K384" s="33"/>
      <c r="L384" s="33"/>
    </row>
    <row r="385" customFormat="false" ht="15" hidden="false" customHeight="false" outlineLevel="0" collapsed="false">
      <c r="A385" s="36" t="s">
        <v>885</v>
      </c>
      <c r="B385" s="76" t="n">
        <v>215.7335</v>
      </c>
      <c r="C385" s="77" t="n">
        <v>7165.0801</v>
      </c>
      <c r="D385" s="45" t="n">
        <f aca="false">B385/B384-1</f>
        <v>0.0186198592945843</v>
      </c>
      <c r="E385" s="45" t="n">
        <f aca="false">C385/C384-1</f>
        <v>0.0079736932076655</v>
      </c>
      <c r="F385" s="35"/>
      <c r="G385" s="35"/>
      <c r="H385" s="33"/>
      <c r="I385" s="33"/>
      <c r="J385" s="33"/>
      <c r="K385" s="33"/>
      <c r="L385" s="33"/>
    </row>
    <row r="386" customFormat="false" ht="15" hidden="false" customHeight="false" outlineLevel="0" collapsed="false">
      <c r="A386" s="36" t="s">
        <v>886</v>
      </c>
      <c r="B386" s="76" t="n">
        <v>215.6137</v>
      </c>
      <c r="C386" s="77" t="n">
        <v>7173.9102</v>
      </c>
      <c r="D386" s="45" t="n">
        <f aca="false">B386/B385-1</f>
        <v>-0.000555314774942195</v>
      </c>
      <c r="E386" s="45" t="n">
        <f aca="false">C386/C385-1</f>
        <v>0.00123237980270452</v>
      </c>
      <c r="F386" s="35"/>
      <c r="G386" s="35"/>
      <c r="H386" s="33"/>
      <c r="I386" s="33"/>
      <c r="J386" s="33"/>
      <c r="K386" s="33"/>
      <c r="L386" s="33"/>
    </row>
    <row r="387" customFormat="false" ht="15" hidden="false" customHeight="false" outlineLevel="0" collapsed="false">
      <c r="A387" s="36" t="s">
        <v>887</v>
      </c>
      <c r="B387" s="76" t="n">
        <v>205.5903</v>
      </c>
      <c r="C387" s="77" t="n">
        <v>7138.7998</v>
      </c>
      <c r="D387" s="45" t="n">
        <f aca="false">B387/B386-1</f>
        <v>-0.0464877695619527</v>
      </c>
      <c r="E387" s="45" t="n">
        <f aca="false">C387/C386-1</f>
        <v>-0.00489417890957156</v>
      </c>
      <c r="F387" s="35"/>
      <c r="G387" s="35"/>
      <c r="H387" s="33"/>
      <c r="I387" s="33"/>
      <c r="J387" s="33"/>
      <c r="K387" s="33"/>
      <c r="L387" s="33"/>
    </row>
    <row r="388" customFormat="false" ht="15" hidden="false" customHeight="false" outlineLevel="0" collapsed="false">
      <c r="A388" s="36" t="s">
        <v>888</v>
      </c>
      <c r="B388" s="76" t="n">
        <v>205.3207</v>
      </c>
      <c r="C388" s="77" t="n">
        <v>7135.9502</v>
      </c>
      <c r="D388" s="45" t="n">
        <f aca="false">B388/B387-1</f>
        <v>-0.00131134591466631</v>
      </c>
      <c r="E388" s="45" t="n">
        <f aca="false">C388/C387-1</f>
        <v>-0.000399170740157162</v>
      </c>
      <c r="F388" s="35"/>
      <c r="G388" s="35"/>
      <c r="H388" s="33"/>
      <c r="I388" s="33"/>
      <c r="J388" s="33"/>
      <c r="K388" s="33"/>
      <c r="L388" s="33"/>
    </row>
    <row r="389" customFormat="false" ht="15" hidden="false" customHeight="false" outlineLevel="0" collapsed="false">
      <c r="A389" s="36" t="s">
        <v>889</v>
      </c>
      <c r="B389" s="76" t="n">
        <v>208.6053</v>
      </c>
      <c r="C389" s="77" t="n">
        <v>7209.0098</v>
      </c>
      <c r="D389" s="45" t="n">
        <f aca="false">B389/B388-1</f>
        <v>0.0159974128278348</v>
      </c>
      <c r="E389" s="45" t="n">
        <f aca="false">C389/C388-1</f>
        <v>0.0102382440953692</v>
      </c>
      <c r="F389" s="35"/>
      <c r="G389" s="35"/>
      <c r="H389" s="33"/>
      <c r="I389" s="33"/>
      <c r="J389" s="33"/>
      <c r="K389" s="33"/>
      <c r="L389" s="33"/>
    </row>
    <row r="390" customFormat="false" ht="15" hidden="false" customHeight="false" outlineLevel="0" collapsed="false">
      <c r="A390" s="36" t="s">
        <v>890</v>
      </c>
      <c r="B390" s="76" t="n">
        <v>209.8233</v>
      </c>
      <c r="C390" s="77" t="n">
        <v>7230.1201</v>
      </c>
      <c r="D390" s="45" t="n">
        <f aca="false">B390/B389-1</f>
        <v>0.00583877782587483</v>
      </c>
      <c r="E390" s="45" t="n">
        <f aca="false">C390/C389-1</f>
        <v>0.00292832172318591</v>
      </c>
      <c r="F390" s="35"/>
      <c r="G390" s="35"/>
      <c r="H390" s="33"/>
      <c r="I390" s="33"/>
      <c r="J390" s="33"/>
      <c r="K390" s="33"/>
      <c r="L390" s="33"/>
    </row>
    <row r="391" customFormat="false" ht="15" hidden="false" customHeight="false" outlineLevel="0" collapsed="false">
      <c r="A391" s="36" t="s">
        <v>891</v>
      </c>
      <c r="B391" s="76" t="n">
        <v>211.2908</v>
      </c>
      <c r="C391" s="77" t="n">
        <v>7200.75</v>
      </c>
      <c r="D391" s="45" t="n">
        <f aca="false">B391/B390-1</f>
        <v>0.0069939801728407</v>
      </c>
      <c r="E391" s="45" t="n">
        <f aca="false">C391/C390-1</f>
        <v>-0.00406218701678274</v>
      </c>
      <c r="F391" s="35"/>
      <c r="G391" s="35"/>
      <c r="H391" s="33"/>
      <c r="I391" s="33"/>
      <c r="J391" s="33"/>
      <c r="K391" s="33"/>
      <c r="L391" s="33"/>
    </row>
    <row r="392" customFormat="false" ht="15" hidden="false" customHeight="false" outlineLevel="0" collapsed="false">
      <c r="A392" s="36" t="s">
        <v>892</v>
      </c>
      <c r="B392" s="76" t="n">
        <v>215.9631</v>
      </c>
      <c r="C392" s="77" t="n">
        <v>7259.2202</v>
      </c>
      <c r="D392" s="45" t="n">
        <f aca="false">B392/B391-1</f>
        <v>0.0221131256069833</v>
      </c>
      <c r="E392" s="45" t="n">
        <f aca="false">C392/C391-1</f>
        <v>0.00812001527618644</v>
      </c>
      <c r="F392" s="35"/>
      <c r="G392" s="35"/>
      <c r="H392" s="33"/>
      <c r="I392" s="33"/>
      <c r="J392" s="33"/>
      <c r="K392" s="33"/>
      <c r="L392" s="33"/>
    </row>
    <row r="393" customFormat="false" ht="15" hidden="false" customHeight="false" outlineLevel="0" collapsed="false">
      <c r="A393" s="36" t="s">
        <v>893</v>
      </c>
      <c r="B393" s="76" t="n">
        <v>238.4061</v>
      </c>
      <c r="C393" s="77" t="n">
        <v>7365.1201</v>
      </c>
      <c r="D393" s="45" t="n">
        <f aca="false">B393/B392-1</f>
        <v>0.103920530868468</v>
      </c>
      <c r="E393" s="45" t="n">
        <f aca="false">C393/C392-1</f>
        <v>0.0145883300247596</v>
      </c>
      <c r="F393" s="35"/>
      <c r="G393" s="35"/>
      <c r="H393" s="33"/>
      <c r="I393" s="33"/>
      <c r="J393" s="33"/>
      <c r="K393" s="33"/>
      <c r="L393" s="33"/>
    </row>
    <row r="394" customFormat="false" ht="15" hidden="false" customHeight="false" outlineLevel="0" collapsed="false">
      <c r="A394" s="36" t="s">
        <v>894</v>
      </c>
      <c r="B394" s="76" t="n">
        <v>229.8901</v>
      </c>
      <c r="C394" s="77" t="n">
        <v>7337.1099</v>
      </c>
      <c r="D394" s="45" t="n">
        <f aca="false">B394/B393-1</f>
        <v>-0.0357205625191638</v>
      </c>
      <c r="E394" s="45" t="n">
        <f aca="false">C394/C393-1</f>
        <v>-0.00380308801753282</v>
      </c>
      <c r="F394" s="35"/>
      <c r="G394" s="35"/>
      <c r="H394" s="33"/>
      <c r="I394" s="33"/>
      <c r="J394" s="33"/>
      <c r="K394" s="33"/>
      <c r="L394" s="33"/>
    </row>
    <row r="395" customFormat="false" ht="15" hidden="false" customHeight="false" outlineLevel="0" collapsed="false">
      <c r="A395" s="36" t="s">
        <v>895</v>
      </c>
      <c r="B395" s="76" t="n">
        <v>260.0303</v>
      </c>
      <c r="C395" s="77" t="n">
        <v>7398.9302</v>
      </c>
      <c r="D395" s="45" t="n">
        <f aca="false">B395/B394-1</f>
        <v>0.131106994168083</v>
      </c>
      <c r="E395" s="45" t="n">
        <f aca="false">C395/C394-1</f>
        <v>0.00842570178756619</v>
      </c>
      <c r="F395" s="35"/>
      <c r="G395" s="35"/>
      <c r="H395" s="33"/>
      <c r="I395" s="33"/>
      <c r="J395" s="33"/>
      <c r="K395" s="33"/>
      <c r="L395" s="33"/>
    </row>
    <row r="396" customFormat="false" ht="15" hidden="false" customHeight="false" outlineLevel="0" collapsed="false">
      <c r="A396" s="36" t="s">
        <v>896</v>
      </c>
      <c r="B396" s="76" t="n">
        <v>246.6324</v>
      </c>
      <c r="C396" s="77" t="n">
        <v>7412.8398</v>
      </c>
      <c r="D396" s="45" t="n">
        <f aca="false">B396/B395-1</f>
        <v>-0.0515243800434028</v>
      </c>
      <c r="E396" s="45" t="n">
        <f aca="false">C396/C395-1</f>
        <v>0.00187994745510633</v>
      </c>
      <c r="F396" s="35"/>
      <c r="G396" s="35"/>
      <c r="H396" s="33"/>
      <c r="I396" s="33"/>
      <c r="J396" s="33"/>
      <c r="K396" s="33"/>
      <c r="L396" s="33"/>
    </row>
    <row r="397" customFormat="false" ht="15" hidden="false" customHeight="false" outlineLevel="0" collapsed="false">
      <c r="A397" s="36" t="s">
        <v>897</v>
      </c>
      <c r="B397" s="76" t="n">
        <v>238.5458</v>
      </c>
      <c r="C397" s="77" t="n">
        <v>7400.96</v>
      </c>
      <c r="D397" s="45" t="n">
        <f aca="false">B397/B396-1</f>
        <v>-0.0327880683965285</v>
      </c>
      <c r="E397" s="45" t="n">
        <f aca="false">C397/C396-1</f>
        <v>-0.00160259769811832</v>
      </c>
      <c r="F397" s="35"/>
      <c r="G397" s="35"/>
      <c r="H397" s="33"/>
      <c r="I397" s="33"/>
      <c r="J397" s="33"/>
      <c r="K397" s="33"/>
      <c r="L397" s="33"/>
    </row>
    <row r="398" customFormat="false" ht="15" hidden="false" customHeight="false" outlineLevel="0" collapsed="false">
      <c r="A398" s="36" t="s">
        <v>898</v>
      </c>
      <c r="B398" s="76" t="n">
        <v>243.4677</v>
      </c>
      <c r="C398" s="77" t="n">
        <v>7444.25</v>
      </c>
      <c r="D398" s="45" t="n">
        <f aca="false">B398/B397-1</f>
        <v>0.0206329350590118</v>
      </c>
      <c r="E398" s="45" t="n">
        <f aca="false">C398/C397-1</f>
        <v>0.00584924117952257</v>
      </c>
      <c r="F398" s="35"/>
      <c r="G398" s="35"/>
      <c r="H398" s="33"/>
      <c r="I398" s="33"/>
      <c r="J398" s="33"/>
      <c r="K398" s="33"/>
      <c r="L398" s="33"/>
    </row>
    <row r="399" customFormat="false" ht="15" hidden="false" customHeight="false" outlineLevel="0" collapsed="false">
      <c r="A399" s="36" t="s">
        <v>899</v>
      </c>
      <c r="B399" s="76" t="n">
        <v>247.481</v>
      </c>
      <c r="C399" s="77" t="n">
        <v>7501.2402</v>
      </c>
      <c r="D399" s="45" t="n">
        <f aca="false">B399/B398-1</f>
        <v>0.0164839114182291</v>
      </c>
      <c r="E399" s="45" t="n">
        <f aca="false">C399/C398-1</f>
        <v>0.00765559995970055</v>
      </c>
      <c r="F399" s="35"/>
      <c r="G399" s="35"/>
      <c r="H399" s="33"/>
      <c r="I399" s="33"/>
      <c r="J399" s="33"/>
      <c r="K399" s="33"/>
      <c r="L399" s="33"/>
    </row>
    <row r="400" customFormat="false" ht="15" hidden="false" customHeight="false" outlineLevel="0" collapsed="false">
      <c r="A400" s="36" t="s">
        <v>900</v>
      </c>
      <c r="B400" s="76" t="n">
        <v>241.5908</v>
      </c>
      <c r="C400" s="77" t="n">
        <v>7408.5</v>
      </c>
      <c r="D400" s="45" t="n">
        <f aca="false">B400/B399-1</f>
        <v>-0.0238006149967068</v>
      </c>
      <c r="E400" s="45" t="n">
        <f aca="false">C400/C399-1</f>
        <v>-0.0123633156021321</v>
      </c>
      <c r="F400" s="35"/>
      <c r="G400" s="35"/>
      <c r="H400" s="33"/>
      <c r="I400" s="33"/>
      <c r="J400" s="33"/>
      <c r="K400" s="33"/>
      <c r="L400" s="33"/>
    </row>
    <row r="401" customFormat="false" ht="15" hidden="false" customHeight="false" outlineLevel="0" collapsed="false">
      <c r="A401" s="36" t="s">
        <v>901</v>
      </c>
      <c r="B401" s="76" t="n">
        <v>237.6373</v>
      </c>
      <c r="C401" s="77" t="n">
        <v>7403.0498</v>
      </c>
      <c r="D401" s="45" t="n">
        <f aca="false">B401/B400-1</f>
        <v>-0.016364447652808</v>
      </c>
      <c r="E401" s="45" t="n">
        <f aca="false">C401/C400-1</f>
        <v>-0.000735668488897945</v>
      </c>
      <c r="F401" s="35"/>
      <c r="G401" s="35"/>
      <c r="H401" s="33"/>
      <c r="I401" s="33"/>
      <c r="J401" s="33"/>
      <c r="K401" s="33"/>
      <c r="L401" s="33"/>
    </row>
    <row r="402" customFormat="false" ht="15" hidden="false" customHeight="false" outlineLevel="0" collapsed="false">
      <c r="A402" s="36" t="s">
        <v>902</v>
      </c>
      <c r="B402" s="76" t="n">
        <v>234.8719</v>
      </c>
      <c r="C402" s="77" t="n">
        <v>7353.6099</v>
      </c>
      <c r="D402" s="45" t="n">
        <f aca="false">B402/B401-1</f>
        <v>-0.0116370620268788</v>
      </c>
      <c r="E402" s="45" t="n">
        <f aca="false">C402/C401-1</f>
        <v>-0.00667831519923035</v>
      </c>
      <c r="F402" s="35"/>
      <c r="G402" s="35"/>
      <c r="H402" s="33"/>
      <c r="I402" s="33"/>
      <c r="J402" s="33"/>
      <c r="K402" s="33"/>
      <c r="L402" s="33"/>
    </row>
    <row r="403" customFormat="false" ht="15" hidden="false" customHeight="false" outlineLevel="0" collapsed="false">
      <c r="A403" s="36" t="s">
        <v>903</v>
      </c>
      <c r="B403" s="76" t="n">
        <v>242.5292</v>
      </c>
      <c r="C403" s="77" t="n">
        <v>7432.9702</v>
      </c>
      <c r="D403" s="45" t="n">
        <f aca="false">B403/B402-1</f>
        <v>0.0326020268921059</v>
      </c>
      <c r="E403" s="45" t="n">
        <f aca="false">C403/C402-1</f>
        <v>0.0107920193046953</v>
      </c>
      <c r="F403" s="35"/>
      <c r="G403" s="35"/>
      <c r="H403" s="33"/>
      <c r="I403" s="33"/>
      <c r="J403" s="33"/>
      <c r="K403" s="33"/>
      <c r="L403" s="33"/>
    </row>
    <row r="404" customFormat="false" ht="15" hidden="false" customHeight="false" outlineLevel="0" collapsed="false">
      <c r="A404" s="36" t="s">
        <v>904</v>
      </c>
      <c r="B404" s="76" t="n">
        <v>252.3829</v>
      </c>
      <c r="C404" s="77" t="n">
        <v>7445.7202</v>
      </c>
      <c r="D404" s="45" t="n">
        <f aca="false">B404/B403-1</f>
        <v>0.04062892220813</v>
      </c>
      <c r="E404" s="45" t="n">
        <f aca="false">C404/C403-1</f>
        <v>0.00171533043412442</v>
      </c>
      <c r="F404" s="35"/>
      <c r="G404" s="35"/>
      <c r="H404" s="33"/>
      <c r="I404" s="33"/>
      <c r="J404" s="33"/>
      <c r="K404" s="33"/>
      <c r="L404" s="33"/>
    </row>
    <row r="405" customFormat="false" ht="15" hidden="false" customHeight="false" outlineLevel="0" collapsed="false">
      <c r="A405" s="36" t="s">
        <v>905</v>
      </c>
      <c r="B405" s="76" t="n">
        <v>294.703</v>
      </c>
      <c r="C405" s="77" t="n">
        <v>7473.4702</v>
      </c>
      <c r="D405" s="45" t="n">
        <f aca="false">B405/B404-1</f>
        <v>0.167682121094575</v>
      </c>
      <c r="E405" s="45" t="n">
        <f aca="false">C405/C404-1</f>
        <v>0.00372697324833671</v>
      </c>
      <c r="F405" s="35"/>
      <c r="G405" s="35"/>
      <c r="H405" s="33"/>
      <c r="I405" s="33"/>
      <c r="J405" s="33"/>
      <c r="K405" s="33"/>
      <c r="L405" s="33"/>
    </row>
    <row r="406" customFormat="false" ht="15" hidden="false" customHeight="false" outlineLevel="0" collapsed="false">
      <c r="A406" s="36" t="s">
        <v>906</v>
      </c>
      <c r="B406" s="76" t="n">
        <v>304.5767</v>
      </c>
      <c r="C406" s="77" t="n">
        <v>7519.1201</v>
      </c>
      <c r="D406" s="45" t="n">
        <f aca="false">B406/B405-1</f>
        <v>0.0335039005371511</v>
      </c>
      <c r="E406" s="45" t="n">
        <f aca="false">C406/C405-1</f>
        <v>0.00610826012258681</v>
      </c>
      <c r="F406" s="35"/>
      <c r="G406" s="35"/>
      <c r="H406" s="33"/>
      <c r="I406" s="33"/>
      <c r="J406" s="33"/>
      <c r="K406" s="33"/>
      <c r="L406" s="33"/>
    </row>
    <row r="407" customFormat="false" ht="15" hidden="false" customHeight="false" outlineLevel="0" collapsed="false">
      <c r="A407" s="36" t="s">
        <v>907</v>
      </c>
      <c r="B407" s="76" t="n">
        <v>304.8163</v>
      </c>
      <c r="C407" s="77" t="n">
        <v>7520.3599</v>
      </c>
      <c r="D407" s="45" t="n">
        <f aca="false">B407/B406-1</f>
        <v>0.00078666555911866</v>
      </c>
      <c r="E407" s="45" t="n">
        <f aca="false">C407/C406-1</f>
        <v>0.000164886314290902</v>
      </c>
      <c r="F407" s="35"/>
      <c r="G407" s="35"/>
      <c r="H407" s="33"/>
      <c r="I407" s="33"/>
      <c r="J407" s="33"/>
      <c r="K407" s="33"/>
      <c r="L407" s="33"/>
    </row>
    <row r="408" customFormat="false" ht="15" hidden="false" customHeight="false" outlineLevel="0" collapsed="false">
      <c r="A408" s="36" t="s">
        <v>908</v>
      </c>
      <c r="B408" s="76" t="n">
        <v>316.5269</v>
      </c>
      <c r="C408" s="77" t="n">
        <v>7563.6299</v>
      </c>
      <c r="D408" s="45" t="n">
        <f aca="false">B408/B407-1</f>
        <v>0.0384185491392686</v>
      </c>
      <c r="E408" s="45" t="n">
        <f aca="false">C408/C407-1</f>
        <v>0.00575371399445923</v>
      </c>
      <c r="F408" s="35"/>
      <c r="G408" s="35"/>
      <c r="H408" s="33"/>
      <c r="I408" s="33"/>
      <c r="J408" s="33"/>
      <c r="K408" s="33"/>
      <c r="L408" s="33"/>
    </row>
    <row r="409" customFormat="false" ht="15" hidden="false" customHeight="false" outlineLevel="0" collapsed="false">
      <c r="A409" s="36" t="s">
        <v>909</v>
      </c>
      <c r="B409" s="76" t="n">
        <v>420.2156</v>
      </c>
      <c r="C409" s="77" t="n">
        <v>7580.0601</v>
      </c>
      <c r="D409" s="45" t="n">
        <f aca="false">B409/B408-1</f>
        <v>0.327582584608133</v>
      </c>
      <c r="E409" s="45" t="n">
        <f aca="false">C409/C408-1</f>
        <v>0.00217226387557634</v>
      </c>
      <c r="F409" s="35"/>
      <c r="G409" s="35"/>
      <c r="H409" s="33"/>
      <c r="I409" s="33"/>
      <c r="J409" s="33"/>
      <c r="K409" s="33"/>
      <c r="L409" s="33"/>
    </row>
    <row r="410" customFormat="false" ht="15" hidden="false" customHeight="false" outlineLevel="0" collapsed="false">
      <c r="A410" s="36" t="s">
        <v>910</v>
      </c>
      <c r="B410" s="76" t="n">
        <v>465.1913</v>
      </c>
      <c r="C410" s="77" t="n">
        <v>7599.96</v>
      </c>
      <c r="D410" s="45" t="n">
        <f aca="false">B410/B409-1</f>
        <v>0.107030057903609</v>
      </c>
      <c r="E410" s="45" t="n">
        <f aca="false">C410/C409-1</f>
        <v>0.00262529580735116</v>
      </c>
      <c r="F410" s="35"/>
      <c r="G410" s="35"/>
      <c r="H410" s="33"/>
      <c r="I410" s="33"/>
      <c r="J410" s="33"/>
      <c r="K410" s="33"/>
      <c r="L410" s="33"/>
    </row>
    <row r="411" customFormat="false" ht="15" hidden="false" customHeight="false" outlineLevel="0" collapsed="false">
      <c r="A411" s="36" t="s">
        <v>911</v>
      </c>
      <c r="B411" s="76" t="n">
        <v>434.5919</v>
      </c>
      <c r="C411" s="77" t="n">
        <v>7609.7798</v>
      </c>
      <c r="D411" s="45" t="n">
        <f aca="false">B411/B410-1</f>
        <v>-0.0657781003213087</v>
      </c>
      <c r="E411" s="45" t="n">
        <f aca="false">C411/C410-1</f>
        <v>0.0012920857478198</v>
      </c>
      <c r="F411" s="35"/>
      <c r="G411" s="35"/>
      <c r="H411" s="33"/>
      <c r="I411" s="33"/>
      <c r="J411" s="33"/>
      <c r="K411" s="33"/>
      <c r="L411" s="33"/>
    </row>
    <row r="412" customFormat="false" ht="15" hidden="false" customHeight="false" outlineLevel="0" collapsed="false">
      <c r="A412" s="36" t="s">
        <v>912</v>
      </c>
      <c r="B412" s="76" t="n">
        <v>420.3853</v>
      </c>
      <c r="C412" s="77" t="n">
        <v>7553.6802</v>
      </c>
      <c r="D412" s="45" t="n">
        <f aca="false">B412/B411-1</f>
        <v>-0.0326895186035452</v>
      </c>
      <c r="E412" s="45" t="n">
        <f aca="false">C412/C411-1</f>
        <v>-0.00737203985849899</v>
      </c>
      <c r="F412" s="35"/>
      <c r="G412" s="35"/>
      <c r="H412" s="33"/>
      <c r="I412" s="33"/>
      <c r="J412" s="33"/>
      <c r="K412" s="33"/>
      <c r="L412" s="33"/>
    </row>
    <row r="413" customFormat="false" ht="15" hidden="false" customHeight="false" outlineLevel="0" collapsed="false">
      <c r="A413" s="36" t="s">
        <v>913</v>
      </c>
      <c r="B413" s="76" t="n">
        <v>421.3537</v>
      </c>
      <c r="C413" s="77" t="n">
        <v>7584.3101</v>
      </c>
      <c r="D413" s="45" t="n">
        <f aca="false">B413/B412-1</f>
        <v>0.00230360100602955</v>
      </c>
      <c r="E413" s="45" t="n">
        <f aca="false">C413/C412-1</f>
        <v>0.004054963830743</v>
      </c>
      <c r="F413" s="35"/>
      <c r="G413" s="35"/>
      <c r="H413" s="33"/>
      <c r="I413" s="33"/>
      <c r="J413" s="33"/>
      <c r="K413" s="33"/>
      <c r="L413" s="33"/>
    </row>
    <row r="414" customFormat="false" ht="15" hidden="false" customHeight="false" outlineLevel="0" collapsed="false">
      <c r="A414" s="36" t="s">
        <v>914</v>
      </c>
      <c r="B414" s="76" t="n">
        <v>393.7394</v>
      </c>
      <c r="C414" s="77" t="n">
        <v>7383.7402</v>
      </c>
      <c r="D414" s="45" t="n">
        <f aca="false">B414/B413-1</f>
        <v>-0.0655371010151329</v>
      </c>
      <c r="E414" s="45" t="n">
        <f aca="false">C414/C413-1</f>
        <v>-0.0264453717418542</v>
      </c>
      <c r="F414" s="35"/>
      <c r="G414" s="35"/>
      <c r="H414" s="33"/>
      <c r="I414" s="33"/>
      <c r="J414" s="33"/>
      <c r="K414" s="33"/>
      <c r="L414" s="33"/>
    </row>
    <row r="415" customFormat="false" ht="15" hidden="false" customHeight="false" outlineLevel="0" collapsed="false">
      <c r="A415" s="36" t="s">
        <v>915</v>
      </c>
      <c r="B415" s="76" t="n">
        <v>400.1088</v>
      </c>
      <c r="C415" s="77" t="n">
        <v>7405.73</v>
      </c>
      <c r="D415" s="45" t="n">
        <f aca="false">B415/B414-1</f>
        <v>0.0161766894550051</v>
      </c>
      <c r="E415" s="45" t="n">
        <f aca="false">C415/C414-1</f>
        <v>0.00297813836949445</v>
      </c>
      <c r="F415" s="35"/>
      <c r="G415" s="35"/>
      <c r="H415" s="33"/>
      <c r="I415" s="33"/>
      <c r="J415" s="33"/>
      <c r="K415" s="33"/>
      <c r="L415" s="33"/>
    </row>
    <row r="416" customFormat="false" ht="15" hidden="false" customHeight="false" outlineLevel="0" collapsed="false">
      <c r="A416" s="36" t="s">
        <v>916</v>
      </c>
      <c r="B416" s="76" t="n">
        <v>381.1502</v>
      </c>
      <c r="C416" s="77" t="n">
        <v>7386.6499</v>
      </c>
      <c r="D416" s="45" t="n">
        <f aca="false">B416/B415-1</f>
        <v>-0.0473836116576291</v>
      </c>
      <c r="E416" s="45" t="n">
        <f aca="false">C416/C415-1</f>
        <v>-0.0025763969250836</v>
      </c>
      <c r="F416" s="35"/>
      <c r="G416" s="35"/>
      <c r="H416" s="33"/>
      <c r="I416" s="33"/>
      <c r="J416" s="33"/>
      <c r="K416" s="33"/>
      <c r="L416" s="33"/>
    </row>
    <row r="417" customFormat="false" ht="15" hidden="false" customHeight="false" outlineLevel="0" collapsed="false">
      <c r="A417" s="36" t="s">
        <v>917</v>
      </c>
      <c r="B417" s="76" t="n">
        <v>369.2199</v>
      </c>
      <c r="C417" s="77" t="n">
        <v>7266.9902</v>
      </c>
      <c r="D417" s="45" t="n">
        <f aca="false">B417/B416-1</f>
        <v>-0.0313007837854997</v>
      </c>
      <c r="E417" s="45" t="n">
        <f aca="false">C417/C416-1</f>
        <v>-0.0161994546404589</v>
      </c>
      <c r="F417" s="35"/>
      <c r="G417" s="35"/>
      <c r="H417" s="33"/>
      <c r="I417" s="33"/>
      <c r="J417" s="33"/>
      <c r="K417" s="33"/>
      <c r="L417" s="33"/>
    </row>
    <row r="418" customFormat="false" ht="15" hidden="false" customHeight="false" outlineLevel="0" collapsed="false">
      <c r="A418" s="36" t="s">
        <v>918</v>
      </c>
      <c r="B418" s="76" t="n">
        <v>390.8042</v>
      </c>
      <c r="C418" s="77" t="n">
        <v>7394.2998</v>
      </c>
      <c r="D418" s="45" t="n">
        <f aca="false">B418/B417-1</f>
        <v>0.0584592000593684</v>
      </c>
      <c r="E418" s="45" t="n">
        <f aca="false">C418/C417-1</f>
        <v>0.0175188897323681</v>
      </c>
      <c r="F418" s="35"/>
      <c r="G418" s="35"/>
      <c r="H418" s="33"/>
      <c r="I418" s="33"/>
      <c r="J418" s="33"/>
      <c r="K418" s="33"/>
      <c r="L418" s="33"/>
    </row>
    <row r="419" customFormat="false" ht="15" hidden="false" customHeight="false" outlineLevel="0" collapsed="false">
      <c r="A419" s="36" t="s">
        <v>919</v>
      </c>
      <c r="B419" s="76" t="n">
        <v>394.9174</v>
      </c>
      <c r="C419" s="77" t="n">
        <v>7431.46</v>
      </c>
      <c r="D419" s="45" t="n">
        <f aca="false">B419/B418-1</f>
        <v>0.0105249636518747</v>
      </c>
      <c r="E419" s="45" t="n">
        <f aca="false">C419/C418-1</f>
        <v>0.00502551979296273</v>
      </c>
      <c r="F419" s="35"/>
      <c r="G419" s="35"/>
      <c r="H419" s="33"/>
      <c r="I419" s="33"/>
      <c r="J419" s="33"/>
      <c r="K419" s="33"/>
      <c r="L419" s="33"/>
    </row>
    <row r="420" customFormat="false" ht="15" hidden="false" customHeight="false" outlineLevel="0" collapsed="false">
      <c r="A420" s="36" t="s">
        <v>920</v>
      </c>
      <c r="B420" s="76" t="n">
        <v>408.3951</v>
      </c>
      <c r="C420" s="77" t="n">
        <v>7554.29</v>
      </c>
      <c r="D420" s="45" t="n">
        <f aca="false">B420/B419-1</f>
        <v>0.0341278961119464</v>
      </c>
      <c r="E420" s="45" t="n">
        <f aca="false">C420/C419-1</f>
        <v>0.0165283806950451</v>
      </c>
      <c r="F420" s="35"/>
      <c r="G420" s="35"/>
      <c r="H420" s="33"/>
      <c r="I420" s="33"/>
      <c r="J420" s="33"/>
      <c r="K420" s="33"/>
      <c r="L420" s="33"/>
    </row>
    <row r="421" customFormat="false" ht="15" hidden="false" customHeight="false" outlineLevel="0" collapsed="false">
      <c r="A421" s="36" t="s">
        <v>921</v>
      </c>
      <c r="B421" s="76" t="n">
        <v>403.4134</v>
      </c>
      <c r="C421" s="77" t="n">
        <v>7511.3501</v>
      </c>
      <c r="D421" s="45" t="n">
        <f aca="false">B421/B420-1</f>
        <v>-0.0121982364626804</v>
      </c>
      <c r="E421" s="45" t="n">
        <f aca="false">C421/C420-1</f>
        <v>-0.00568417415799505</v>
      </c>
      <c r="F421" s="35"/>
      <c r="G421" s="35"/>
      <c r="H421" s="33"/>
      <c r="I421" s="33"/>
      <c r="J421" s="33"/>
      <c r="K421" s="33"/>
      <c r="L421" s="33"/>
    </row>
    <row r="422" customFormat="false" ht="15" hidden="false" customHeight="false" outlineLevel="0" collapsed="false">
      <c r="A422" s="36" t="s">
        <v>922</v>
      </c>
      <c r="B422" s="76" t="n">
        <v>418.6282</v>
      </c>
      <c r="C422" s="77" t="n">
        <v>7420.1001</v>
      </c>
      <c r="D422" s="45" t="n">
        <f aca="false">B422/B421-1</f>
        <v>0.037715157701752</v>
      </c>
      <c r="E422" s="45" t="n">
        <f aca="false">C422/C421-1</f>
        <v>-0.0121482821044382</v>
      </c>
      <c r="F422" s="35"/>
      <c r="G422" s="35"/>
      <c r="H422" s="33"/>
      <c r="I422" s="33"/>
      <c r="J422" s="33"/>
      <c r="K422" s="33"/>
      <c r="L422" s="33"/>
    </row>
    <row r="423" customFormat="false" ht="15" hidden="false" customHeight="false" outlineLevel="0" collapsed="false">
      <c r="A423" s="36" t="s">
        <v>923</v>
      </c>
      <c r="B423" s="76" t="n">
        <v>408.8244</v>
      </c>
      <c r="C423" s="77" t="n">
        <v>7500.5801</v>
      </c>
      <c r="D423" s="45" t="n">
        <f aca="false">B423/B422-1</f>
        <v>-0.0234188714472651</v>
      </c>
      <c r="E423" s="45" t="n">
        <f aca="false">C423/C422-1</f>
        <v>0.010846214864406</v>
      </c>
      <c r="F423" s="35"/>
      <c r="G423" s="35"/>
      <c r="H423" s="33"/>
      <c r="I423" s="33"/>
      <c r="J423" s="33"/>
      <c r="K423" s="33"/>
      <c r="L423" s="33"/>
    </row>
    <row r="424" customFormat="false" ht="15" hidden="false" customHeight="false" outlineLevel="0" collapsed="false">
      <c r="A424" s="36" t="s">
        <v>924</v>
      </c>
      <c r="B424" s="76" t="n">
        <v>418.0192</v>
      </c>
      <c r="C424" s="77" t="n">
        <v>7472.79</v>
      </c>
      <c r="D424" s="45" t="n">
        <f aca="false">B424/B423-1</f>
        <v>0.0224908298037005</v>
      </c>
      <c r="E424" s="45" t="n">
        <f aca="false">C424/C423-1</f>
        <v>-0.00370506009261873</v>
      </c>
      <c r="F424" s="35"/>
      <c r="G424" s="35"/>
      <c r="H424" s="33"/>
      <c r="I424" s="33"/>
      <c r="J424" s="33"/>
      <c r="K424" s="33"/>
      <c r="L424" s="33"/>
    </row>
    <row r="425" customFormat="false" ht="15" hidden="false" customHeight="false" outlineLevel="0" collapsed="false">
      <c r="A425" s="36" t="s">
        <v>925</v>
      </c>
      <c r="B425" s="76" t="n">
        <v>427.0743</v>
      </c>
      <c r="C425" s="77" t="n">
        <v>7365.46</v>
      </c>
      <c r="D425" s="45" t="n">
        <f aca="false">B425/B424-1</f>
        <v>0.0216619236628366</v>
      </c>
      <c r="E425" s="45" t="n">
        <f aca="false">C425/C424-1</f>
        <v>-0.0143627748136907</v>
      </c>
      <c r="F425" s="35"/>
      <c r="G425" s="35"/>
      <c r="H425" s="33"/>
      <c r="I425" s="33"/>
      <c r="J425" s="33"/>
      <c r="K425" s="33"/>
      <c r="L425" s="33"/>
    </row>
    <row r="426" customFormat="false" ht="15" hidden="false" customHeight="false" outlineLevel="0" collapsed="false">
      <c r="A426" s="36" t="s">
        <v>926</v>
      </c>
      <c r="B426" s="76" t="n">
        <v>433.3439</v>
      </c>
      <c r="C426" s="77" t="n">
        <v>7358.2202</v>
      </c>
      <c r="D426" s="45" t="n">
        <f aca="false">B426/B425-1</f>
        <v>0.0146803495316858</v>
      </c>
      <c r="E426" s="45" t="n">
        <f aca="false">C426/C425-1</f>
        <v>-0.000982939286887752</v>
      </c>
      <c r="F426" s="35"/>
      <c r="G426" s="35"/>
      <c r="H426" s="33"/>
      <c r="I426" s="33"/>
      <c r="J426" s="33"/>
      <c r="K426" s="33"/>
      <c r="L426" s="33"/>
    </row>
    <row r="427" customFormat="false" ht="15" hidden="false" customHeight="false" outlineLevel="0" collapsed="false">
      <c r="A427" s="36" t="s">
        <v>927</v>
      </c>
      <c r="B427" s="76" t="n">
        <v>408.7745</v>
      </c>
      <c r="C427" s="77" t="n">
        <v>7357.4902</v>
      </c>
      <c r="D427" s="45" t="n">
        <f aca="false">B427/B426-1</f>
        <v>-0.0566972328443992</v>
      </c>
      <c r="E427" s="45" t="n">
        <f aca="false">C427/C426-1</f>
        <v>-9.92087733389102E-005</v>
      </c>
      <c r="F427" s="35"/>
      <c r="G427" s="35"/>
      <c r="H427" s="33"/>
      <c r="I427" s="33"/>
      <c r="J427" s="33"/>
      <c r="K427" s="33"/>
      <c r="L427" s="33"/>
    </row>
    <row r="428" customFormat="false" ht="15" hidden="false" customHeight="false" outlineLevel="0" collapsed="false">
      <c r="A428" s="36" t="s">
        <v>928</v>
      </c>
      <c r="B428" s="76" t="n">
        <v>398.8309</v>
      </c>
      <c r="C428" s="77" t="n">
        <v>7354.02</v>
      </c>
      <c r="D428" s="45" t="n">
        <f aca="false">B428/B427-1</f>
        <v>-0.0243253921171698</v>
      </c>
      <c r="E428" s="45" t="n">
        <f aca="false">C428/C427-1</f>
        <v>-0.000471655402272897</v>
      </c>
      <c r="F428" s="35"/>
      <c r="G428" s="35"/>
      <c r="H428" s="33"/>
      <c r="I428" s="33"/>
      <c r="J428" s="33"/>
      <c r="K428" s="33"/>
      <c r="L428" s="33"/>
    </row>
    <row r="429" customFormat="false" ht="15" hidden="false" customHeight="false" outlineLevel="0" collapsed="false">
      <c r="A429" s="36" t="s">
        <v>929</v>
      </c>
      <c r="B429" s="76" t="n">
        <v>413.926</v>
      </c>
      <c r="C429" s="77" t="n">
        <v>7440.4302</v>
      </c>
      <c r="D429" s="45" t="n">
        <f aca="false">B429/B428-1</f>
        <v>0.0378483713272968</v>
      </c>
      <c r="E429" s="45" t="n">
        <f aca="false">C429/C428-1</f>
        <v>0.0117500632307228</v>
      </c>
      <c r="F429" s="35"/>
      <c r="G429" s="35"/>
      <c r="H429" s="33"/>
      <c r="I429" s="33"/>
      <c r="J429" s="33"/>
      <c r="K429" s="33"/>
      <c r="L429" s="33"/>
    </row>
    <row r="430" customFormat="false" ht="15" hidden="false" customHeight="false" outlineLevel="0" collapsed="false">
      <c r="A430" s="36" t="s">
        <v>930</v>
      </c>
      <c r="B430" s="76" t="n">
        <v>430.7482</v>
      </c>
      <c r="C430" s="77" t="n">
        <v>7499.3599</v>
      </c>
      <c r="D430" s="45" t="n">
        <f aca="false">B430/B429-1</f>
        <v>0.0406405975947393</v>
      </c>
      <c r="E430" s="45" t="n">
        <f aca="false">C430/C429-1</f>
        <v>0.00792020063571064</v>
      </c>
      <c r="F430" s="35"/>
      <c r="G430" s="35"/>
      <c r="H430" s="33"/>
      <c r="I430" s="33"/>
      <c r="J430" s="33"/>
      <c r="K430" s="33"/>
      <c r="L430" s="33"/>
    </row>
    <row r="431" customFormat="false" ht="15" hidden="false" customHeight="false" outlineLevel="0" collapsed="false">
      <c r="A431" s="36" t="s">
        <v>931</v>
      </c>
      <c r="B431" s="76" t="n">
        <v>424.5485</v>
      </c>
      <c r="C431" s="77" t="n">
        <v>7483.23</v>
      </c>
      <c r="D431" s="45" t="n">
        <f aca="false">B431/B430-1</f>
        <v>-0.0143928633944379</v>
      </c>
      <c r="E431" s="45" t="n">
        <f aca="false">C431/C430-1</f>
        <v>-0.00215083690009343</v>
      </c>
      <c r="F431" s="35"/>
      <c r="G431" s="35"/>
      <c r="H431" s="33"/>
      <c r="I431" s="33"/>
      <c r="J431" s="33"/>
      <c r="K431" s="33"/>
      <c r="L431" s="33"/>
    </row>
    <row r="432" customFormat="false" ht="15" hidden="false" customHeight="false" outlineLevel="0" collapsed="false">
      <c r="A432" s="36" t="s">
        <v>932</v>
      </c>
      <c r="B432" s="76" t="n">
        <v>393.6695</v>
      </c>
      <c r="C432" s="77" t="n">
        <v>7483.2402</v>
      </c>
      <c r="D432" s="45" t="n">
        <f aca="false">B432/B431-1</f>
        <v>-0.0727337394903055</v>
      </c>
      <c r="E432" s="45" t="n">
        <f aca="false">C432/C431-1</f>
        <v>1.36304777487162E-006</v>
      </c>
      <c r="F432" s="35"/>
      <c r="G432" s="35"/>
      <c r="H432" s="33"/>
      <c r="I432" s="33"/>
      <c r="J432" s="33"/>
      <c r="K432" s="33"/>
      <c r="L432" s="33"/>
    </row>
    <row r="433" customFormat="false" ht="15" hidden="false" customHeight="false" outlineLevel="0" collapsed="false">
      <c r="A433" s="36" t="s">
        <v>933</v>
      </c>
      <c r="B433" s="76" t="n">
        <v>411.1206</v>
      </c>
      <c r="C433" s="77" t="n">
        <v>7537.4302</v>
      </c>
      <c r="D433" s="45" t="n">
        <f aca="false">B433/B432-1</f>
        <v>0.0443293168508101</v>
      </c>
      <c r="E433" s="45" t="n">
        <f aca="false">C433/C432-1</f>
        <v>0.00724151551356056</v>
      </c>
      <c r="F433" s="35"/>
      <c r="G433" s="35"/>
      <c r="H433" s="33"/>
      <c r="I433" s="33"/>
      <c r="J433" s="33"/>
      <c r="K433" s="33"/>
      <c r="L433" s="33"/>
    </row>
    <row r="434" customFormat="false" ht="15" hidden="false" customHeight="false" outlineLevel="0" collapsed="false">
      <c r="A434" s="36" t="s">
        <v>934</v>
      </c>
      <c r="B434" s="76" t="n">
        <v>416.5916</v>
      </c>
      <c r="C434" s="77" t="n">
        <v>7503.8501</v>
      </c>
      <c r="D434" s="45" t="n">
        <f aca="false">B434/B433-1</f>
        <v>0.0133075306856432</v>
      </c>
      <c r="E434" s="45" t="n">
        <f aca="false">C434/C433-1</f>
        <v>-0.00445511256608389</v>
      </c>
      <c r="F434" s="35"/>
      <c r="G434" s="35"/>
      <c r="H434" s="33"/>
      <c r="I434" s="33"/>
      <c r="J434" s="33"/>
      <c r="K434" s="33"/>
      <c r="L434" s="33"/>
    </row>
    <row r="435" customFormat="false" ht="15" hidden="false" customHeight="false" outlineLevel="0" collapsed="false">
      <c r="A435" s="36" t="s">
        <v>935</v>
      </c>
      <c r="B435" s="76" t="n">
        <v>431.2574</v>
      </c>
      <c r="C435" s="77" t="n">
        <v>7482.71</v>
      </c>
      <c r="D435" s="45" t="n">
        <f aca="false">B435/B434-1</f>
        <v>0.035204262399914</v>
      </c>
      <c r="E435" s="45" t="n">
        <f aca="false">C435/C434-1</f>
        <v>-0.00281723378242849</v>
      </c>
      <c r="F435" s="35"/>
      <c r="G435" s="35"/>
      <c r="H435" s="33"/>
      <c r="I435" s="33"/>
      <c r="J435" s="33"/>
      <c r="K435" s="33"/>
      <c r="L435" s="33"/>
    </row>
    <row r="436" customFormat="false" ht="15" hidden="false" customHeight="false" outlineLevel="0" collapsed="false">
      <c r="A436" s="36" t="s">
        <v>936</v>
      </c>
      <c r="B436" s="76" t="n">
        <v>449.4773</v>
      </c>
      <c r="C436" s="77" t="n">
        <v>7543.6401</v>
      </c>
      <c r="D436" s="45" t="n">
        <f aca="false">B436/B435-1</f>
        <v>0.0422483185216067</v>
      </c>
      <c r="E436" s="45" t="n">
        <f aca="false">C436/C435-1</f>
        <v>0.00814278516740585</v>
      </c>
      <c r="F436" s="35"/>
      <c r="G436" s="35"/>
      <c r="H436" s="33"/>
      <c r="I436" s="33"/>
      <c r="J436" s="33"/>
      <c r="K436" s="33"/>
      <c r="L436" s="33"/>
    </row>
    <row r="437" customFormat="false" ht="15" hidden="false" customHeight="false" outlineLevel="0" collapsed="false">
      <c r="A437" s="36" t="s">
        <v>937</v>
      </c>
      <c r="B437" s="76" t="n">
        <v>434.2524</v>
      </c>
      <c r="C437" s="77" t="n">
        <v>7575.3901</v>
      </c>
      <c r="D437" s="45" t="n">
        <f aca="false">B437/B436-1</f>
        <v>-0.0338724558503845</v>
      </c>
      <c r="E437" s="45" t="n">
        <f aca="false">C437/C436-1</f>
        <v>0.00420884342030048</v>
      </c>
      <c r="F437" s="35"/>
      <c r="G437" s="35"/>
      <c r="H437" s="33"/>
      <c r="I437" s="33"/>
      <c r="J437" s="33"/>
      <c r="K437" s="33"/>
      <c r="L437" s="33"/>
    </row>
    <row r="438" customFormat="false" ht="15" hidden="false" customHeight="false" outlineLevel="0" collapsed="false">
      <c r="A438" s="36" t="s">
        <v>938</v>
      </c>
      <c r="B438" s="76" t="n">
        <v>426.4054</v>
      </c>
      <c r="C438" s="77" t="n">
        <v>7515.3398</v>
      </c>
      <c r="D438" s="45" t="n">
        <f aca="false">B438/B437-1</f>
        <v>-0.0180701361696562</v>
      </c>
      <c r="E438" s="45" t="n">
        <f aca="false">C438/C437-1</f>
        <v>-0.00792702411457336</v>
      </c>
      <c r="F438" s="35"/>
      <c r="G438" s="35"/>
      <c r="H438" s="33"/>
      <c r="I438" s="33"/>
      <c r="J438" s="33"/>
      <c r="K438" s="33"/>
      <c r="L438" s="33"/>
    </row>
    <row r="439" customFormat="false" ht="15" hidden="false" customHeight="false" outlineLevel="0" collapsed="false">
      <c r="A439" s="36" t="s">
        <v>939</v>
      </c>
      <c r="B439" s="76" t="n">
        <v>456.7852</v>
      </c>
      <c r="C439" s="77" t="n">
        <v>7543.5898</v>
      </c>
      <c r="D439" s="45" t="n">
        <f aca="false">B439/B438-1</f>
        <v>0.0712462834663914</v>
      </c>
      <c r="E439" s="45" t="n">
        <f aca="false">C439/C438-1</f>
        <v>0.00375897840307893</v>
      </c>
      <c r="F439" s="35"/>
      <c r="G439" s="35"/>
      <c r="H439" s="33"/>
      <c r="I439" s="33"/>
      <c r="J439" s="33"/>
      <c r="K439" s="33"/>
      <c r="L439" s="33"/>
    </row>
    <row r="440" customFormat="false" ht="15" hidden="false" customHeight="false" outlineLevel="0" collapsed="false">
      <c r="A440" s="36" t="s">
        <v>940</v>
      </c>
      <c r="B440" s="76" t="n">
        <v>411.9992</v>
      </c>
      <c r="C440" s="77" t="n">
        <v>7572.3999</v>
      </c>
      <c r="D440" s="45" t="n">
        <f aca="false">B440/B439-1</f>
        <v>-0.0980460838048168</v>
      </c>
      <c r="E440" s="45" t="n">
        <f aca="false">C440/C439-1</f>
        <v>0.0038191498694693</v>
      </c>
      <c r="F440" s="35"/>
      <c r="G440" s="35"/>
      <c r="H440" s="33"/>
      <c r="I440" s="33"/>
      <c r="J440" s="33"/>
      <c r="K440" s="33"/>
      <c r="L440" s="33"/>
    </row>
    <row r="441" customFormat="false" ht="15" hidden="false" customHeight="false" outlineLevel="0" collapsed="false">
      <c r="A441" s="36" t="s">
        <v>941</v>
      </c>
      <c r="B441" s="76" t="n">
        <v>390.7343</v>
      </c>
      <c r="C441" s="77" t="n">
        <v>7533.77</v>
      </c>
      <c r="D441" s="45" t="n">
        <f aca="false">B441/B440-1</f>
        <v>-0.0516139351726895</v>
      </c>
      <c r="E441" s="45" t="n">
        <f aca="false">C441/C440-1</f>
        <v>-0.00510140781128055</v>
      </c>
      <c r="F441" s="35"/>
      <c r="G441" s="35"/>
      <c r="H441" s="33"/>
      <c r="I441" s="33"/>
      <c r="J441" s="33"/>
      <c r="K441" s="33"/>
      <c r="L441" s="33"/>
    </row>
    <row r="442" customFormat="false" ht="15" hidden="false" customHeight="false" outlineLevel="0" collapsed="false">
      <c r="A442" s="36" t="s">
        <v>942</v>
      </c>
      <c r="B442" s="76" t="n">
        <v>395.6861</v>
      </c>
      <c r="C442" s="77" t="n">
        <v>7457.6899</v>
      </c>
      <c r="D442" s="45" t="n">
        <f aca="false">B442/B441-1</f>
        <v>0.0126730619758746</v>
      </c>
      <c r="E442" s="45" t="n">
        <f aca="false">C442/C441-1</f>
        <v>-0.0100985429605629</v>
      </c>
      <c r="F442" s="35"/>
      <c r="G442" s="35"/>
      <c r="H442" s="33"/>
      <c r="I442" s="33"/>
      <c r="J442" s="33"/>
      <c r="K442" s="33"/>
      <c r="L442" s="33"/>
    </row>
    <row r="443" customFormat="false" ht="15" hidden="false" customHeight="false" outlineLevel="0" collapsed="false">
      <c r="A443" s="36" t="s">
        <v>943</v>
      </c>
      <c r="B443" s="76" t="n">
        <v>381.25</v>
      </c>
      <c r="C443" s="77" t="n">
        <v>7443.2798</v>
      </c>
      <c r="D443" s="45" t="n">
        <f aca="false">B443/B442-1</f>
        <v>-0.0364837177752769</v>
      </c>
      <c r="E443" s="45" t="n">
        <f aca="false">C443/C442-1</f>
        <v>-0.00193224714264395</v>
      </c>
      <c r="F443" s="35"/>
      <c r="G443" s="35"/>
      <c r="H443" s="33"/>
      <c r="I443" s="33"/>
      <c r="J443" s="33"/>
      <c r="K443" s="33"/>
      <c r="L443" s="33"/>
    </row>
    <row r="444" customFormat="false" ht="15" hidden="false" customHeight="false" outlineLevel="0" collapsed="false">
      <c r="A444" s="36" t="s">
        <v>944</v>
      </c>
      <c r="B444" s="76" t="n">
        <v>404.15</v>
      </c>
      <c r="C444" s="77" t="n">
        <v>7509.2002</v>
      </c>
      <c r="D444" s="45" t="n">
        <f aca="false">B444/B443-1</f>
        <v>0.0600655737704918</v>
      </c>
      <c r="E444" s="45" t="n">
        <f aca="false">C444/C443-1</f>
        <v>0.00885636463646033</v>
      </c>
      <c r="F444" s="35"/>
      <c r="G444" s="35"/>
      <c r="H444" s="33"/>
      <c r="I444" s="33"/>
      <c r="J444" s="33"/>
      <c r="K444" s="33"/>
      <c r="L444" s="33"/>
    </row>
    <row r="445" customFormat="false" ht="15" hidden="false" customHeight="false" outlineLevel="0" collapsed="false">
      <c r="A445" s="36" t="s">
        <v>945</v>
      </c>
      <c r="B445" s="76" t="n">
        <v>441.8</v>
      </c>
      <c r="C445" s="77" t="n">
        <v>7498.96</v>
      </c>
      <c r="D445" s="45" t="n">
        <f aca="false">B445/B444-1</f>
        <v>0.0931584807620933</v>
      </c>
      <c r="E445" s="45" t="n">
        <f aca="false">C445/C444-1</f>
        <v>-0.0013636871740349</v>
      </c>
      <c r="F445" s="35"/>
      <c r="G445" s="35"/>
      <c r="H445" s="33"/>
      <c r="I445" s="33"/>
      <c r="J445" s="33"/>
      <c r="K445" s="33"/>
      <c r="L445" s="33"/>
    </row>
    <row r="446" customFormat="false" ht="15" hidden="false" customHeight="false" outlineLevel="0" collapsed="false">
      <c r="A446" s="36" t="s">
        <v>946</v>
      </c>
      <c r="B446" s="76" t="n">
        <v>439.34</v>
      </c>
      <c r="C446" s="77" t="n">
        <v>7408.2998</v>
      </c>
      <c r="D446" s="45" t="n">
        <f aca="false">B446/B445-1</f>
        <v>-0.00556813037573567</v>
      </c>
      <c r="E446" s="45" t="n">
        <f aca="false">C446/C445-1</f>
        <v>-0.0120897031054973</v>
      </c>
      <c r="F446" s="35"/>
      <c r="G446" s="35"/>
      <c r="H446" s="33"/>
      <c r="I446" s="33"/>
      <c r="J446" s="33"/>
      <c r="K446" s="33"/>
      <c r="L446" s="33"/>
    </row>
    <row r="447" customFormat="false" ht="15" hidden="false" customHeight="false" outlineLevel="0" collapsed="false">
      <c r="A447" s="36" t="s">
        <v>947</v>
      </c>
      <c r="B447" s="76" t="n">
        <v>437.5</v>
      </c>
      <c r="C447" s="77" t="n">
        <v>7411.98</v>
      </c>
      <c r="D447" s="45" t="n">
        <f aca="false">B447/B446-1</f>
        <v>-0.00418810033231665</v>
      </c>
      <c r="E447" s="45" t="n">
        <f aca="false">C447/C446-1</f>
        <v>0.000496767152970756</v>
      </c>
      <c r="F447" s="35"/>
      <c r="G447" s="35"/>
      <c r="H447" s="33"/>
      <c r="I447" s="33"/>
      <c r="J447" s="33"/>
      <c r="K447" s="33"/>
      <c r="L447" s="33"/>
    </row>
    <row r="448" customFormat="false" ht="15" hidden="false" customHeight="false" outlineLevel="0" collapsed="false">
      <c r="A448" s="36" t="s">
        <v>948</v>
      </c>
      <c r="B448" s="76" t="n">
        <v>426.91</v>
      </c>
      <c r="C448" s="77" t="n">
        <v>7413.1802</v>
      </c>
      <c r="D448" s="45" t="n">
        <f aca="false">B448/B447-1</f>
        <v>-0.0242057142857143</v>
      </c>
      <c r="E448" s="45" t="n">
        <f aca="false">C448/C447-1</f>
        <v>0.000161927042436671</v>
      </c>
      <c r="F448" s="35"/>
      <c r="G448" s="35"/>
      <c r="H448" s="33"/>
      <c r="I448" s="33"/>
      <c r="J448" s="33"/>
      <c r="K448" s="33"/>
      <c r="L448" s="33"/>
    </row>
    <row r="449" customFormat="false" ht="15" hidden="false" customHeight="false" outlineLevel="0" collapsed="false">
      <c r="A449" s="36" t="s">
        <v>949</v>
      </c>
      <c r="B449" s="76" t="n">
        <v>392.1</v>
      </c>
      <c r="C449" s="77" t="n">
        <v>7428.7798</v>
      </c>
      <c r="D449" s="45" t="n">
        <f aca="false">B449/B448-1</f>
        <v>-0.0815394345412382</v>
      </c>
      <c r="E449" s="45" t="n">
        <f aca="false">C449/C448-1</f>
        <v>0.00210430605747325</v>
      </c>
      <c r="F449" s="35"/>
      <c r="G449" s="35"/>
      <c r="H449" s="33"/>
      <c r="I449" s="33"/>
      <c r="J449" s="33"/>
      <c r="K449" s="33"/>
      <c r="L449" s="33"/>
    </row>
    <row r="450" customFormat="false" ht="15" hidden="false" customHeight="false" outlineLevel="0" collapsed="false">
      <c r="A450" s="36" t="s">
        <v>950</v>
      </c>
      <c r="B450" s="76" t="n">
        <v>369.64</v>
      </c>
      <c r="C450" s="77" t="n">
        <v>7316.1499</v>
      </c>
      <c r="D450" s="45" t="n">
        <f aca="false">B450/B449-1</f>
        <v>-0.0572813057893395</v>
      </c>
      <c r="E450" s="45" t="n">
        <f aca="false">C450/C449-1</f>
        <v>-0.0151612920334507</v>
      </c>
      <c r="F450" s="35"/>
      <c r="G450" s="35"/>
      <c r="H450" s="33"/>
      <c r="I450" s="33"/>
      <c r="J450" s="33"/>
      <c r="K450" s="33"/>
      <c r="L450" s="33"/>
    </row>
    <row r="451" customFormat="false" ht="15" hidden="false" customHeight="false" outlineLevel="0" collapsed="false">
      <c r="A451" s="36" t="s">
        <v>951</v>
      </c>
      <c r="B451" s="76" t="n">
        <v>404.81</v>
      </c>
      <c r="C451" s="77" t="n">
        <v>7437.6299</v>
      </c>
      <c r="D451" s="45" t="n">
        <f aca="false">B451/B450-1</f>
        <v>0.0951466291526892</v>
      </c>
      <c r="E451" s="45" t="n">
        <f aca="false">C451/C450-1</f>
        <v>0.0166043618105747</v>
      </c>
      <c r="F451" s="35"/>
      <c r="G451" s="35"/>
      <c r="H451" s="33"/>
      <c r="I451" s="33"/>
      <c r="J451" s="33"/>
      <c r="K451" s="33"/>
      <c r="L451" s="33"/>
    </row>
    <row r="452" customFormat="false" ht="15" hidden="false" customHeight="false" outlineLevel="0" collapsed="false">
      <c r="A452" s="36" t="s">
        <v>952</v>
      </c>
      <c r="B452" s="76" t="n">
        <v>405.37</v>
      </c>
      <c r="C452" s="77" t="n">
        <v>7489.7202</v>
      </c>
      <c r="D452" s="45" t="n">
        <f aca="false">B452/B451-1</f>
        <v>0.00138336503544867</v>
      </c>
      <c r="E452" s="45" t="n">
        <f aca="false">C452/C451-1</f>
        <v>0.00700361549315587</v>
      </c>
      <c r="F452" s="35"/>
      <c r="G452" s="35"/>
      <c r="H452" s="33"/>
      <c r="I452" s="33"/>
      <c r="J452" s="33"/>
      <c r="K452" s="33"/>
      <c r="L452" s="33"/>
    </row>
    <row r="453" customFormat="false" ht="15" hidden="false" customHeight="false" outlineLevel="0" collapsed="false">
      <c r="A453" s="36" t="s">
        <v>953</v>
      </c>
      <c r="B453" s="76" t="n">
        <v>429.02</v>
      </c>
      <c r="C453" s="77" t="n">
        <v>7600.5</v>
      </c>
      <c r="D453" s="45" t="n">
        <f aca="false">B453/B452-1</f>
        <v>0.0583417618472013</v>
      </c>
      <c r="E453" s="45" t="n">
        <f aca="false">C453/C452-1</f>
        <v>0.0147909130170176</v>
      </c>
      <c r="F453" s="35"/>
      <c r="G453" s="35"/>
      <c r="H453" s="33"/>
      <c r="I453" s="33"/>
      <c r="J453" s="33"/>
      <c r="K453" s="33"/>
      <c r="L453" s="33"/>
    </row>
    <row r="454" customFormat="false" ht="15" hidden="false" customHeight="false" outlineLevel="0" collapsed="false">
      <c r="A454" s="36" t="s">
        <v>954</v>
      </c>
      <c r="B454" s="76" t="n">
        <v>467.27</v>
      </c>
      <c r="C454" s="77" t="n">
        <v>7736.52</v>
      </c>
      <c r="D454" s="45" t="n">
        <f aca="false">B454/B453-1</f>
        <v>0.0891566826721366</v>
      </c>
      <c r="E454" s="45" t="n">
        <f aca="false">C454/C453-1</f>
        <v>0.0178961910400632</v>
      </c>
      <c r="F454" s="35"/>
      <c r="G454" s="35"/>
      <c r="H454" s="33"/>
      <c r="I454" s="33"/>
      <c r="J454" s="33"/>
      <c r="K454" s="33"/>
      <c r="L454" s="33"/>
    </row>
    <row r="455" customFormat="false" ht="15" hidden="false" customHeight="false" outlineLevel="0" collapsed="false">
      <c r="A455" s="36" t="s">
        <v>955</v>
      </c>
      <c r="B455" s="76" t="n">
        <v>462.7</v>
      </c>
      <c r="C455" s="77" t="n">
        <v>7723.5498</v>
      </c>
      <c r="D455" s="45" t="n">
        <f aca="false">B455/B454-1</f>
        <v>-0.00978021272497698</v>
      </c>
      <c r="E455" s="45" t="n">
        <f aca="false">C455/C454-1</f>
        <v>-0.00167649020489846</v>
      </c>
      <c r="F455" s="35"/>
      <c r="G455" s="35"/>
      <c r="H455" s="33"/>
      <c r="I455" s="33"/>
      <c r="J455" s="33"/>
      <c r="K455" s="33"/>
      <c r="L455" s="33"/>
    </row>
    <row r="456" customFormat="false" ht="15" hidden="false" customHeight="false" outlineLevel="0" collapsed="false">
      <c r="A456" s="36" t="s">
        <v>956</v>
      </c>
      <c r="B456" s="76" t="n">
        <v>437.65</v>
      </c>
      <c r="C456" s="77" t="n">
        <v>7709.96</v>
      </c>
      <c r="D456" s="45" t="n">
        <f aca="false">B456/B455-1</f>
        <v>-0.0541387508104604</v>
      </c>
      <c r="E456" s="45" t="n">
        <f aca="false">C456/C455-1</f>
        <v>-0.00175952772389709</v>
      </c>
      <c r="F456" s="35"/>
      <c r="G456" s="35"/>
      <c r="H456" s="33"/>
      <c r="I456" s="33"/>
      <c r="J456" s="33"/>
      <c r="K456" s="33"/>
      <c r="L456" s="33"/>
    </row>
    <row r="457" customFormat="false" ht="15" hidden="false" customHeight="false" outlineLevel="0" collapsed="false">
      <c r="A457" s="36" t="s">
        <v>957</v>
      </c>
      <c r="B457" s="76" t="n">
        <v>453.77</v>
      </c>
      <c r="C457" s="77" t="n">
        <v>7757.6401</v>
      </c>
      <c r="D457" s="45" t="n">
        <f aca="false">B457/B456-1</f>
        <v>0.0368330857991546</v>
      </c>
      <c r="E457" s="45" t="n">
        <f aca="false">C457/C456-1</f>
        <v>0.00618422144861963</v>
      </c>
      <c r="F457" s="35"/>
      <c r="G457" s="35"/>
      <c r="H457" s="33"/>
      <c r="I457" s="33"/>
      <c r="J457" s="33"/>
      <c r="K457" s="33"/>
      <c r="L457" s="33"/>
    </row>
    <row r="458" customFormat="false" ht="15" hidden="false" customHeight="false" outlineLevel="0" collapsed="false">
      <c r="A458" s="36" t="s">
        <v>958</v>
      </c>
      <c r="B458" s="76" t="n">
        <v>457.88</v>
      </c>
      <c r="C458" s="77" t="n">
        <v>7753.1099</v>
      </c>
      <c r="D458" s="45" t="n">
        <f aca="false">B458/B457-1</f>
        <v>0.00905745201313435</v>
      </c>
      <c r="E458" s="45" t="n">
        <f aca="false">C458/C457-1</f>
        <v>-0.0005839662502517</v>
      </c>
      <c r="F458" s="35"/>
      <c r="G458" s="35"/>
      <c r="H458" s="33"/>
      <c r="I458" s="33"/>
      <c r="J458" s="33"/>
      <c r="K458" s="33"/>
      <c r="L458" s="33"/>
    </row>
    <row r="459" customFormat="false" ht="15" hidden="false" customHeight="false" outlineLevel="0" collapsed="false">
      <c r="A459" s="36" t="s">
        <v>959</v>
      </c>
      <c r="B459" s="76" t="n">
        <v>440.97</v>
      </c>
      <c r="C459" s="77" t="n">
        <v>7728.2002</v>
      </c>
      <c r="D459" s="45" t="n">
        <f aca="false">B459/B458-1</f>
        <v>-0.0369310736437494</v>
      </c>
      <c r="E459" s="45" t="n">
        <f aca="false">C459/C458-1</f>
        <v>-0.0032128655882977</v>
      </c>
      <c r="F459" s="35"/>
      <c r="G459" s="35"/>
      <c r="H459" s="33"/>
      <c r="I459" s="33"/>
      <c r="J459" s="33"/>
      <c r="K459" s="33"/>
      <c r="L459" s="33"/>
    </row>
    <row r="460" customFormat="false" ht="15" hidden="false" customHeight="false" outlineLevel="0" collapsed="false">
      <c r="A460" s="36" t="s">
        <v>960</v>
      </c>
      <c r="B460" s="76" t="n">
        <v>484.5</v>
      </c>
      <c r="C460" s="77" t="n">
        <v>7748.5</v>
      </c>
      <c r="D460" s="45" t="n">
        <f aca="false">B460/B459-1</f>
        <v>0.0987141982447786</v>
      </c>
      <c r="E460" s="45" t="n">
        <f aca="false">C460/C459-1</f>
        <v>0.00262671766707068</v>
      </c>
      <c r="F460" s="35"/>
      <c r="G460" s="35"/>
      <c r="H460" s="33"/>
      <c r="I460" s="33"/>
      <c r="J460" s="33"/>
      <c r="K460" s="33"/>
      <c r="L460" s="33"/>
    </row>
    <row r="461" customFormat="false" ht="15" hidden="false" customHeight="false" outlineLevel="0" collapsed="false">
      <c r="A461" s="36" t="s">
        <v>961</v>
      </c>
      <c r="B461" s="76" t="n">
        <v>494.51</v>
      </c>
      <c r="C461" s="77" t="n">
        <v>7798.9902</v>
      </c>
      <c r="D461" s="45" t="n">
        <f aca="false">B461/B460-1</f>
        <v>0.0206604747162023</v>
      </c>
      <c r="E461" s="45" t="n">
        <f aca="false">C461/C460-1</f>
        <v>0.00651612570174875</v>
      </c>
      <c r="F461" s="35"/>
      <c r="G461" s="35"/>
      <c r="H461" s="33"/>
      <c r="I461" s="33"/>
      <c r="J461" s="33"/>
      <c r="K461" s="33"/>
      <c r="L461" s="33"/>
    </row>
    <row r="462" customFormat="false" ht="15" hidden="false" customHeight="false" outlineLevel="0" collapsed="false">
      <c r="A462" s="36" t="s">
        <v>962</v>
      </c>
      <c r="B462" s="76" t="n">
        <v>490.81</v>
      </c>
      <c r="C462" s="77" t="n">
        <v>7785.7598</v>
      </c>
      <c r="D462" s="45" t="n">
        <f aca="false">B462/B461-1</f>
        <v>-0.00748215405148534</v>
      </c>
      <c r="E462" s="45" t="n">
        <f aca="false">C462/C461-1</f>
        <v>-0.00169642474996323</v>
      </c>
      <c r="F462" s="35"/>
      <c r="G462" s="35"/>
      <c r="H462" s="33"/>
      <c r="I462" s="33"/>
      <c r="J462" s="33"/>
      <c r="K462" s="33"/>
      <c r="L462" s="33"/>
    </row>
    <row r="463" customFormat="false" ht="15" hidden="false" customHeight="false" outlineLevel="0" collapsed="false">
      <c r="A463" s="36" t="s">
        <v>963</v>
      </c>
      <c r="B463" s="76" t="n">
        <v>479.81</v>
      </c>
      <c r="C463" s="77" t="n">
        <v>7745.0601</v>
      </c>
      <c r="D463" s="45" t="n">
        <f aca="false">B463/B462-1</f>
        <v>-0.0224119312972433</v>
      </c>
      <c r="E463" s="45" t="n">
        <f aca="false">C463/C462-1</f>
        <v>-0.00522745384464596</v>
      </c>
      <c r="F463" s="35"/>
      <c r="G463" s="35"/>
      <c r="H463" s="33"/>
      <c r="I463" s="33"/>
      <c r="J463" s="33"/>
      <c r="K463" s="33"/>
      <c r="L463" s="33"/>
    </row>
    <row r="464" customFormat="false" ht="15" hidden="false" customHeight="false" outlineLevel="0" collapsed="false">
      <c r="A464" s="36" t="s">
        <v>964</v>
      </c>
      <c r="B464" s="76" t="n">
        <v>468.65</v>
      </c>
      <c r="C464" s="77" t="n">
        <v>7691.7598</v>
      </c>
      <c r="D464" s="45" t="n">
        <f aca="false">B464/B463-1</f>
        <v>-0.0232592067693462</v>
      </c>
      <c r="E464" s="45" t="n">
        <f aca="false">C464/C463-1</f>
        <v>-0.00688184459666097</v>
      </c>
      <c r="F464" s="35"/>
      <c r="G464" s="35"/>
      <c r="H464" s="33"/>
      <c r="I464" s="33"/>
      <c r="J464" s="33"/>
      <c r="K464" s="33"/>
      <c r="L464" s="33"/>
    </row>
    <row r="465" customFormat="false" ht="15" hidden="false" customHeight="false" outlineLevel="0" collapsed="false">
      <c r="A465" s="36" t="s">
        <v>965</v>
      </c>
      <c r="B465" s="76" t="n">
        <v>437.55</v>
      </c>
      <c r="C465" s="77" t="n">
        <v>7707.98</v>
      </c>
      <c r="D465" s="45" t="n">
        <f aca="false">B465/B464-1</f>
        <v>-0.0663608236423769</v>
      </c>
      <c r="E465" s="45" t="n">
        <f aca="false">C465/C464-1</f>
        <v>0.00210877619969363</v>
      </c>
      <c r="F465" s="35"/>
      <c r="G465" s="35"/>
      <c r="H465" s="33"/>
      <c r="I465" s="33"/>
      <c r="J465" s="33"/>
      <c r="K465" s="33"/>
      <c r="L465" s="33"/>
    </row>
    <row r="466" customFormat="false" ht="15" hidden="false" customHeight="false" outlineLevel="0" collapsed="false">
      <c r="A466" s="36" t="s">
        <v>966</v>
      </c>
      <c r="B466" s="76" t="n">
        <v>434.78</v>
      </c>
      <c r="C466" s="77" t="n">
        <v>7641.1602</v>
      </c>
      <c r="D466" s="45" t="n">
        <f aca="false">B466/B465-1</f>
        <v>-0.00633070506227873</v>
      </c>
      <c r="E466" s="45" t="n">
        <f aca="false">C466/C465-1</f>
        <v>-0.00866891195877506</v>
      </c>
      <c r="F466" s="35"/>
      <c r="G466" s="35"/>
      <c r="H466" s="33"/>
      <c r="I466" s="33"/>
      <c r="J466" s="33"/>
      <c r="K466" s="33"/>
      <c r="L466" s="33"/>
    </row>
    <row r="467" customFormat="false" ht="15" hidden="false" customHeight="false" outlineLevel="0" collapsed="false">
      <c r="A467" s="36" t="s">
        <v>967</v>
      </c>
      <c r="B467" s="76" t="n">
        <v>442.08</v>
      </c>
      <c r="C467" s="77" t="n">
        <v>7674.3701</v>
      </c>
      <c r="D467" s="45" t="n">
        <f aca="false">B467/B466-1</f>
        <v>0.0167901007406044</v>
      </c>
      <c r="E467" s="45" t="n">
        <f aca="false">C467/C466-1</f>
        <v>0.00434618554391775</v>
      </c>
      <c r="F467" s="35"/>
      <c r="G467" s="35"/>
      <c r="H467" s="33"/>
      <c r="I467" s="33"/>
      <c r="J467" s="33"/>
      <c r="K467" s="33"/>
      <c r="L467" s="33"/>
    </row>
    <row r="468" customFormat="false" ht="15" hidden="false" customHeight="false" outlineLevel="0" collapsed="false">
      <c r="A468" s="36" t="s">
        <v>968</v>
      </c>
      <c r="B468" s="76" t="n">
        <v>433.19</v>
      </c>
      <c r="C468" s="77" t="n">
        <v>7652.8599</v>
      </c>
      <c r="D468" s="45" t="n">
        <f aca="false">B468/B467-1</f>
        <v>-0.0201094824466159</v>
      </c>
      <c r="E468" s="45" t="n">
        <f aca="false">C468/C467-1</f>
        <v>-0.00280286195736112</v>
      </c>
      <c r="F468" s="35"/>
      <c r="G468" s="35"/>
      <c r="H468" s="33"/>
      <c r="I468" s="33"/>
      <c r="J468" s="33"/>
      <c r="K468" s="33"/>
      <c r="L468" s="33"/>
    </row>
    <row r="469" customFormat="false" ht="15" hidden="false" customHeight="false" outlineLevel="0" collapsed="false">
      <c r="A469" s="36" t="s">
        <v>969</v>
      </c>
      <c r="B469" s="76" t="n">
        <v>451.5</v>
      </c>
      <c r="C469" s="77" t="n">
        <v>7677.2798</v>
      </c>
      <c r="D469" s="45" t="n">
        <f aca="false">B469/B468-1</f>
        <v>0.0422678270504859</v>
      </c>
      <c r="E469" s="45" t="n">
        <f aca="false">C469/C468-1</f>
        <v>0.00319095087576349</v>
      </c>
      <c r="F469" s="35"/>
      <c r="G469" s="35"/>
      <c r="H469" s="33"/>
      <c r="I469" s="33"/>
      <c r="J469" s="33"/>
      <c r="K469" s="33"/>
      <c r="L469" s="33"/>
    </row>
    <row r="470" customFormat="false" ht="15" hidden="false" customHeight="false" outlineLevel="0" collapsed="false">
      <c r="A470" s="36" t="s">
        <v>970</v>
      </c>
      <c r="B470" s="76" t="n">
        <v>463.82</v>
      </c>
      <c r="C470" s="77" t="n">
        <v>7675.7002</v>
      </c>
      <c r="D470" s="45" t="n">
        <f aca="false">B470/B469-1</f>
        <v>0.0272868217054263</v>
      </c>
      <c r="E470" s="45" t="n">
        <f aca="false">C470/C469-1</f>
        <v>-0.000205749958468338</v>
      </c>
      <c r="F470" s="35"/>
      <c r="G470" s="35"/>
      <c r="H470" s="33"/>
      <c r="I470" s="33"/>
      <c r="J470" s="33"/>
      <c r="K470" s="33"/>
      <c r="L470" s="33"/>
    </row>
    <row r="471" customFormat="false" ht="15" hidden="false" customHeight="false" outlineLevel="0" collapsed="false">
      <c r="A471" s="36" t="s">
        <v>971</v>
      </c>
      <c r="B471" s="76" t="n">
        <v>472.26</v>
      </c>
      <c r="C471" s="77" t="n">
        <v>7730.9902</v>
      </c>
      <c r="D471" s="45" t="n">
        <f aca="false">B471/B470-1</f>
        <v>0.0181967142425941</v>
      </c>
      <c r="E471" s="45" t="n">
        <f aca="false">C471/C470-1</f>
        <v>0.00720325163299118</v>
      </c>
      <c r="F471" s="35"/>
      <c r="G471" s="35"/>
      <c r="H471" s="33"/>
      <c r="I471" s="33"/>
      <c r="J471" s="33"/>
      <c r="K471" s="33"/>
      <c r="L471" s="33"/>
    </row>
    <row r="472" customFormat="false" ht="15" hidden="false" customHeight="false" outlineLevel="0" collapsed="false">
      <c r="A472" s="36" t="s">
        <v>972</v>
      </c>
      <c r="B472" s="76" t="n">
        <v>456.24</v>
      </c>
      <c r="C472" s="77" t="n">
        <v>7711.7598</v>
      </c>
      <c r="D472" s="45" t="n">
        <f aca="false">B472/B471-1</f>
        <v>-0.0339219921229831</v>
      </c>
      <c r="E472" s="45" t="n">
        <f aca="false">C472/C471-1</f>
        <v>-0.0024874433290577</v>
      </c>
      <c r="F472" s="35"/>
      <c r="G472" s="35"/>
      <c r="H472" s="33"/>
      <c r="I472" s="33"/>
      <c r="J472" s="33"/>
      <c r="K472" s="33"/>
      <c r="L472" s="33"/>
    </row>
    <row r="473" customFormat="false" ht="15" hidden="false" customHeight="false" outlineLevel="0" collapsed="false">
      <c r="A473" s="36" t="s">
        <v>973</v>
      </c>
      <c r="B473" s="76" t="n">
        <v>456.01</v>
      </c>
      <c r="C473" s="77" t="n">
        <v>7686.1401</v>
      </c>
      <c r="D473" s="45" t="n">
        <f aca="false">B473/B472-1</f>
        <v>-0.000504120638260552</v>
      </c>
      <c r="E473" s="45" t="n">
        <f aca="false">C473/C472-1</f>
        <v>-0.00332216000814756</v>
      </c>
      <c r="F473" s="35"/>
      <c r="G473" s="35"/>
      <c r="H473" s="33"/>
      <c r="I473" s="33"/>
      <c r="J473" s="33"/>
      <c r="K473" s="33"/>
      <c r="L473" s="33"/>
    </row>
    <row r="474" customFormat="false" ht="15" hidden="false" customHeight="false" outlineLevel="0" collapsed="false">
      <c r="A474" s="36" t="s">
        <v>974</v>
      </c>
      <c r="B474" s="76" t="n">
        <v>425</v>
      </c>
      <c r="C474" s="77" t="n">
        <v>7631.4702</v>
      </c>
      <c r="D474" s="45" t="n">
        <f aca="false">B474/B473-1</f>
        <v>-0.0680028946733624</v>
      </c>
      <c r="E474" s="45" t="n">
        <f aca="false">C474/C473-1</f>
        <v>-0.00711278994250963</v>
      </c>
      <c r="F474" s="35"/>
      <c r="G474" s="35"/>
      <c r="H474" s="33"/>
      <c r="I474" s="33"/>
      <c r="J474" s="33"/>
      <c r="K474" s="33"/>
      <c r="L474" s="33"/>
    </row>
    <row r="475" customFormat="false" ht="15" hidden="false" customHeight="false" outlineLevel="0" collapsed="false">
      <c r="A475" s="36" t="s">
        <v>975</v>
      </c>
      <c r="B475" s="76" t="n">
        <v>492.2</v>
      </c>
      <c r="C475" s="77" t="n">
        <v>7666.6001</v>
      </c>
      <c r="D475" s="45" t="n">
        <f aca="false">B475/B474-1</f>
        <v>0.158117647058823</v>
      </c>
      <c r="E475" s="45" t="n">
        <f aca="false">C475/C474-1</f>
        <v>0.00460329387121239</v>
      </c>
      <c r="F475" s="35"/>
      <c r="G475" s="35"/>
      <c r="H475" s="33"/>
      <c r="I475" s="33"/>
      <c r="J475" s="33"/>
      <c r="K475" s="33"/>
      <c r="L475" s="33"/>
    </row>
    <row r="476" customFormat="false" ht="15" hidden="false" customHeight="false" outlineLevel="0" collapsed="false">
      <c r="A476" s="36" t="s">
        <v>976</v>
      </c>
      <c r="B476" s="76" t="n">
        <v>516.39</v>
      </c>
      <c r="C476" s="77" t="n">
        <v>7747.71</v>
      </c>
      <c r="D476" s="45" t="n">
        <f aca="false">B476/B475-1</f>
        <v>0.049146688338074</v>
      </c>
      <c r="E476" s="45" t="n">
        <f aca="false">C476/C475-1</f>
        <v>0.0105796440328223</v>
      </c>
      <c r="F476" s="35"/>
      <c r="G476" s="35"/>
      <c r="H476" s="33"/>
      <c r="I476" s="33"/>
      <c r="J476" s="33"/>
      <c r="K476" s="33"/>
      <c r="L476" s="33"/>
    </row>
    <row r="477" customFormat="false" ht="15" hidden="false" customHeight="false" outlineLevel="0" collapsed="false">
      <c r="A477" s="36" t="s">
        <v>977</v>
      </c>
      <c r="B477" s="76" t="n">
        <v>524.14</v>
      </c>
      <c r="C477" s="77" t="n">
        <v>7718.6001</v>
      </c>
      <c r="D477" s="45" t="n">
        <f aca="false">B477/B476-1</f>
        <v>0.0150080365615135</v>
      </c>
      <c r="E477" s="45" t="n">
        <f aca="false">C477/C476-1</f>
        <v>-0.00375722632881204</v>
      </c>
      <c r="F477" s="35"/>
      <c r="G477" s="35"/>
      <c r="H477" s="33"/>
      <c r="I477" s="33"/>
      <c r="J477" s="33"/>
      <c r="K477" s="33"/>
      <c r="L477" s="33"/>
    </row>
    <row r="478" customFormat="false" ht="15" hidden="false" customHeight="false" outlineLevel="0" collapsed="false">
      <c r="A478" s="36" t="s">
        <v>978</v>
      </c>
      <c r="B478" s="76" t="n">
        <v>533.88</v>
      </c>
      <c r="C478" s="77" t="n">
        <v>7673.52</v>
      </c>
      <c r="D478" s="45" t="n">
        <f aca="false">B478/B477-1</f>
        <v>0.0185828213835999</v>
      </c>
      <c r="E478" s="45" t="n">
        <f aca="false">C478/C477-1</f>
        <v>-0.00584045026506808</v>
      </c>
      <c r="F478" s="35"/>
      <c r="G478" s="35"/>
      <c r="H478" s="33"/>
      <c r="I478" s="33"/>
      <c r="J478" s="33"/>
      <c r="K478" s="33"/>
      <c r="L478" s="33"/>
    </row>
    <row r="479" customFormat="false" ht="15" hidden="false" customHeight="false" outlineLevel="0" collapsed="false">
      <c r="A479" s="36" t="s">
        <v>979</v>
      </c>
      <c r="B479" s="76" t="n">
        <v>535.25</v>
      </c>
      <c r="C479" s="77" t="n">
        <v>7636.3599</v>
      </c>
      <c r="D479" s="45" t="n">
        <f aca="false">B479/B478-1</f>
        <v>0.00256611972727949</v>
      </c>
      <c r="E479" s="45" t="n">
        <f aca="false">C479/C478-1</f>
        <v>-0.00484264066556162</v>
      </c>
      <c r="F479" s="35"/>
      <c r="G479" s="35"/>
      <c r="H479" s="33"/>
      <c r="I479" s="33"/>
      <c r="J479" s="33"/>
      <c r="K479" s="33"/>
      <c r="L479" s="33"/>
    </row>
    <row r="480" customFormat="false" ht="15" hidden="false" customHeight="false" outlineLevel="0" collapsed="false">
      <c r="A480" s="36" t="s">
        <v>980</v>
      </c>
      <c r="B480" s="76" t="n">
        <v>506.62</v>
      </c>
      <c r="C480" s="77" t="n">
        <v>7591.7002</v>
      </c>
      <c r="D480" s="45" t="n">
        <f aca="false">B480/B479-1</f>
        <v>-0.0534890238206446</v>
      </c>
      <c r="E480" s="45" t="n">
        <f aca="false">C480/C479-1</f>
        <v>-0.00584829690910715</v>
      </c>
      <c r="F480" s="35"/>
      <c r="G480" s="35"/>
      <c r="H480" s="33"/>
      <c r="I480" s="33"/>
      <c r="J480" s="33"/>
      <c r="K480" s="33"/>
      <c r="L480" s="33"/>
    </row>
    <row r="481" customFormat="false" ht="15" hidden="false" customHeight="false" outlineLevel="0" collapsed="false">
      <c r="A481" s="36" t="s">
        <v>981</v>
      </c>
      <c r="B481" s="76" t="n">
        <v>567.29</v>
      </c>
      <c r="C481" s="77" t="n">
        <v>7656.98</v>
      </c>
      <c r="D481" s="45" t="n">
        <f aca="false">B481/B480-1</f>
        <v>0.119754451067861</v>
      </c>
      <c r="E481" s="45" t="n">
        <f aca="false">C481/C480-1</f>
        <v>0.00859883797834904</v>
      </c>
      <c r="F481" s="35"/>
      <c r="G481" s="35"/>
      <c r="H481" s="33"/>
      <c r="I481" s="33"/>
      <c r="J481" s="33"/>
      <c r="K481" s="33"/>
      <c r="L481" s="33"/>
    </row>
    <row r="482" customFormat="false" ht="15" hidden="false" customHeight="false" outlineLevel="0" collapsed="false">
      <c r="A482" s="36" t="s">
        <v>982</v>
      </c>
      <c r="B482" s="76" t="n">
        <v>534.28</v>
      </c>
      <c r="C482" s="77" t="n">
        <v>7619.98</v>
      </c>
      <c r="D482" s="45" t="n">
        <f aca="false">B482/B481-1</f>
        <v>-0.0581889333497858</v>
      </c>
      <c r="E482" s="45" t="n">
        <f aca="false">C482/C481-1</f>
        <v>-0.00483219232647858</v>
      </c>
      <c r="F482" s="35"/>
      <c r="G482" s="35"/>
      <c r="H482" s="33"/>
      <c r="I482" s="33"/>
      <c r="J482" s="33"/>
      <c r="K482" s="33"/>
      <c r="L482" s="33"/>
    </row>
    <row r="483" customFormat="false" ht="15" hidden="false" customHeight="false" outlineLevel="0" collapsed="false">
      <c r="A483" s="36" t="s">
        <v>983</v>
      </c>
      <c r="B483" s="76" t="n">
        <v>543.51</v>
      </c>
      <c r="C483" s="77" t="n">
        <v>7585.73</v>
      </c>
      <c r="D483" s="45" t="n">
        <f aca="false">B483/B482-1</f>
        <v>0.0172755858351426</v>
      </c>
      <c r="E483" s="45" t="n">
        <f aca="false">C483/C482-1</f>
        <v>-0.00449476245344471</v>
      </c>
      <c r="F483" s="35"/>
      <c r="G483" s="35"/>
      <c r="H483" s="33"/>
      <c r="I483" s="33"/>
      <c r="J483" s="33"/>
      <c r="K483" s="33"/>
      <c r="L483" s="33"/>
    </row>
    <row r="484" customFormat="false" ht="15" hidden="false" customHeight="false" outlineLevel="0" collapsed="false">
      <c r="A484" s="36" t="s">
        <v>984</v>
      </c>
      <c r="B484" s="76" t="n">
        <v>563.29</v>
      </c>
      <c r="C484" s="77" t="n">
        <v>7551.8101</v>
      </c>
      <c r="D484" s="45" t="n">
        <f aca="false">B484/B483-1</f>
        <v>0.0363930746444408</v>
      </c>
      <c r="E484" s="45" t="n">
        <f aca="false">C484/C483-1</f>
        <v>-0.00447154064275945</v>
      </c>
      <c r="F484" s="35"/>
      <c r="G484" s="35"/>
      <c r="H484" s="33"/>
      <c r="I484" s="33"/>
      <c r="J484" s="33"/>
      <c r="K484" s="33"/>
      <c r="L484" s="33"/>
    </row>
    <row r="485" customFormat="false" ht="15" hidden="false" customHeight="false" outlineLevel="0" collapsed="false">
      <c r="A485" s="36" t="s">
        <v>985</v>
      </c>
      <c r="B485" s="76" t="n">
        <v>588.4</v>
      </c>
      <c r="C485" s="77" t="n">
        <v>7637.7598</v>
      </c>
      <c r="D485" s="45" t="n">
        <f aca="false">B485/B484-1</f>
        <v>0.0445773935273128</v>
      </c>
      <c r="E485" s="45" t="n">
        <f aca="false">C485/C484-1</f>
        <v>0.0113813375683269</v>
      </c>
      <c r="F485" s="35"/>
      <c r="G485" s="35"/>
      <c r="H485" s="33"/>
      <c r="I485" s="33"/>
      <c r="J485" s="33"/>
      <c r="K485" s="33"/>
      <c r="L485" s="33"/>
    </row>
    <row r="486" customFormat="false" ht="15" hidden="false" customHeight="false" outlineLevel="0" collapsed="false">
      <c r="A486" s="36" t="s">
        <v>986</v>
      </c>
      <c r="B486" s="76" t="n">
        <v>568.06</v>
      </c>
      <c r="C486" s="77" t="n">
        <v>7650.5</v>
      </c>
      <c r="D486" s="45" t="n">
        <f aca="false">B486/B485-1</f>
        <v>-0.0345683208701564</v>
      </c>
      <c r="E486" s="45" t="n">
        <f aca="false">C486/C485-1</f>
        <v>0.0016680545518073</v>
      </c>
      <c r="F486" s="35"/>
      <c r="G486" s="35"/>
      <c r="H486" s="33"/>
      <c r="I486" s="33"/>
      <c r="J486" s="33"/>
      <c r="K486" s="33"/>
      <c r="L486" s="33"/>
    </row>
    <row r="487" customFormat="false" ht="15" hidden="false" customHeight="false" outlineLevel="0" collapsed="false">
      <c r="A487" s="36" t="s">
        <v>987</v>
      </c>
      <c r="B487" s="76" t="n">
        <v>575.31</v>
      </c>
      <c r="C487" s="77" t="n">
        <v>7764.7002</v>
      </c>
      <c r="D487" s="45" t="n">
        <f aca="false">B487/B486-1</f>
        <v>0.0127627363306693</v>
      </c>
      <c r="E487" s="45" t="n">
        <f aca="false">C487/C486-1</f>
        <v>0.0149271550879029</v>
      </c>
      <c r="F487" s="35"/>
      <c r="G487" s="35"/>
      <c r="H487" s="33"/>
      <c r="I487" s="33"/>
      <c r="J487" s="33"/>
      <c r="K487" s="33"/>
      <c r="L487" s="33"/>
    </row>
    <row r="488" customFormat="false" ht="15" hidden="false" customHeight="false" outlineLevel="0" collapsed="false">
      <c r="A488" s="36" t="s">
        <v>988</v>
      </c>
      <c r="B488" s="76" t="n">
        <v>548.92</v>
      </c>
      <c r="C488" s="77" t="n">
        <v>7764.6401</v>
      </c>
      <c r="D488" s="45" t="n">
        <f aca="false">B488/B487-1</f>
        <v>-0.0458709217639186</v>
      </c>
      <c r="E488" s="45" t="n">
        <f aca="false">C488/C487-1</f>
        <v>-7.7401571796365E-006</v>
      </c>
      <c r="F488" s="35"/>
      <c r="G488" s="35"/>
      <c r="H488" s="33"/>
      <c r="I488" s="33"/>
      <c r="J488" s="33"/>
      <c r="K488" s="33"/>
      <c r="L488" s="33"/>
    </row>
    <row r="489" customFormat="false" ht="15" hidden="false" customHeight="false" outlineLevel="0" collapsed="false">
      <c r="A489" s="36" t="s">
        <v>989</v>
      </c>
      <c r="B489" s="76" t="n">
        <v>549.83</v>
      </c>
      <c r="C489" s="77" t="n">
        <v>7706.0298</v>
      </c>
      <c r="D489" s="45" t="n">
        <f aca="false">B489/B488-1</f>
        <v>0.00165780077242594</v>
      </c>
      <c r="E489" s="45" t="n">
        <f aca="false">C489/C488-1</f>
        <v>-0.00754836016159965</v>
      </c>
      <c r="F489" s="35"/>
      <c r="G489" s="35"/>
      <c r="H489" s="33"/>
      <c r="I489" s="33"/>
      <c r="J489" s="33"/>
      <c r="K489" s="33"/>
      <c r="L489" s="33"/>
    </row>
    <row r="490" customFormat="false" ht="15" hidden="false" customHeight="false" outlineLevel="0" collapsed="false">
      <c r="A490" s="36" t="s">
        <v>990</v>
      </c>
      <c r="B490" s="76" t="n">
        <v>536.02</v>
      </c>
      <c r="C490" s="77" t="n">
        <v>7704.1299</v>
      </c>
      <c r="D490" s="45" t="n">
        <f aca="false">B490/B489-1</f>
        <v>-0.0251168543004202</v>
      </c>
      <c r="E490" s="45" t="n">
        <f aca="false">C490/C489-1</f>
        <v>-0.000246547190876467</v>
      </c>
      <c r="F490" s="35"/>
      <c r="G490" s="35"/>
      <c r="H490" s="33"/>
      <c r="I490" s="33"/>
      <c r="J490" s="33"/>
      <c r="K490" s="33"/>
      <c r="L490" s="33"/>
    </row>
    <row r="491" customFormat="false" ht="15" hidden="false" customHeight="false" outlineLevel="0" collapsed="false">
      <c r="A491" s="36" t="s">
        <v>991</v>
      </c>
      <c r="B491" s="76" t="n">
        <v>562.89</v>
      </c>
      <c r="C491" s="77" t="n">
        <v>7743.4102</v>
      </c>
      <c r="D491" s="45" t="n">
        <f aca="false">B491/B490-1</f>
        <v>0.0501287265400545</v>
      </c>
      <c r="E491" s="45" t="n">
        <f aca="false">C491/C490-1</f>
        <v>0.00509860302329535</v>
      </c>
      <c r="F491" s="35"/>
      <c r="G491" s="35"/>
      <c r="H491" s="33"/>
      <c r="I491" s="33"/>
      <c r="J491" s="33"/>
      <c r="K491" s="33"/>
      <c r="L491" s="33"/>
    </row>
    <row r="492" customFormat="false" ht="15" hidden="false" customHeight="false" outlineLevel="0" collapsed="false">
      <c r="A492" s="36" t="s">
        <v>992</v>
      </c>
      <c r="B492" s="76" t="n">
        <v>543.43</v>
      </c>
      <c r="C492" s="77" t="n">
        <v>7683.6899</v>
      </c>
      <c r="D492" s="45" t="n">
        <f aca="false">B492/B491-1</f>
        <v>-0.0345715859226493</v>
      </c>
      <c r="E492" s="45" t="n">
        <f aca="false">C492/C491-1</f>
        <v>-0.00771240299267628</v>
      </c>
      <c r="F492" s="35"/>
      <c r="G492" s="35"/>
      <c r="H492" s="33"/>
      <c r="I492" s="33"/>
      <c r="J492" s="33"/>
      <c r="K492" s="33"/>
      <c r="L492" s="33"/>
    </row>
    <row r="493" customFormat="false" ht="15" hidden="false" customHeight="false" outlineLevel="0" collapsed="false">
      <c r="A493" s="36" t="s">
        <v>993</v>
      </c>
      <c r="B493" s="76" t="n">
        <v>539.59</v>
      </c>
      <c r="C493" s="77" t="n">
        <v>7670.8398</v>
      </c>
      <c r="D493" s="45" t="n">
        <f aca="false">B493/B492-1</f>
        <v>-0.00706622748100017</v>
      </c>
      <c r="E493" s="45" t="n">
        <f aca="false">C493/C492-1</f>
        <v>-0.00167238659644509</v>
      </c>
      <c r="F493" s="35"/>
      <c r="G493" s="35"/>
      <c r="H493" s="33"/>
      <c r="I493" s="33"/>
      <c r="J493" s="33"/>
      <c r="K493" s="33"/>
      <c r="L493" s="33"/>
    </row>
    <row r="494" customFormat="false" ht="15" hidden="false" customHeight="false" outlineLevel="0" collapsed="false">
      <c r="A494" s="36" t="s">
        <v>994</v>
      </c>
      <c r="B494" s="76" t="n">
        <v>537.95</v>
      </c>
      <c r="C494" s="77" t="n">
        <v>7651.54</v>
      </c>
      <c r="D494" s="45" t="n">
        <f aca="false">B494/B493-1</f>
        <v>-0.00303934468763323</v>
      </c>
      <c r="E494" s="45" t="n">
        <f aca="false">C494/C493-1</f>
        <v>-0.00251599570623284</v>
      </c>
      <c r="F494" s="35"/>
      <c r="G494" s="35"/>
      <c r="H494" s="33"/>
      <c r="I494" s="33"/>
      <c r="J494" s="33"/>
      <c r="K494" s="33"/>
      <c r="L494" s="33"/>
    </row>
    <row r="495" customFormat="false" ht="15" hidden="false" customHeight="false" outlineLevel="0" collapsed="false">
      <c r="A495" s="36" t="s">
        <v>995</v>
      </c>
      <c r="B495" s="76" t="n">
        <v>541.74</v>
      </c>
      <c r="C495" s="77" t="n">
        <v>7666.4502</v>
      </c>
      <c r="D495" s="45" t="n">
        <f aca="false">B495/B494-1</f>
        <v>0.0070452644297796</v>
      </c>
      <c r="E495" s="45" t="n">
        <f aca="false">C495/C494-1</f>
        <v>0.0019486534736799</v>
      </c>
      <c r="F495" s="35"/>
      <c r="G495" s="35"/>
      <c r="H495" s="33"/>
      <c r="I495" s="33"/>
      <c r="J495" s="33"/>
      <c r="K495" s="33"/>
      <c r="L495" s="33"/>
    </row>
    <row r="496" customFormat="false" ht="15" hidden="false" customHeight="false" outlineLevel="0" collapsed="false">
      <c r="A496" s="36" t="s">
        <v>996</v>
      </c>
      <c r="B496" s="76" t="n">
        <v>562.52</v>
      </c>
      <c r="C496" s="77" t="n">
        <v>7722.7202</v>
      </c>
      <c r="D496" s="45" t="n">
        <f aca="false">B496/B495-1</f>
        <v>0.0383578838557241</v>
      </c>
      <c r="E496" s="45" t="n">
        <f aca="false">C496/C495-1</f>
        <v>0.00733977245427098</v>
      </c>
      <c r="F496" s="35"/>
      <c r="G496" s="35"/>
      <c r="H496" s="33"/>
      <c r="I496" s="33"/>
      <c r="J496" s="33"/>
      <c r="K496" s="33"/>
      <c r="L496" s="33"/>
    </row>
    <row r="497" customFormat="false" ht="15" hidden="false" customHeight="false" outlineLevel="0" collapsed="false">
      <c r="A497" s="36" t="s">
        <v>997</v>
      </c>
      <c r="B497" s="76" t="n">
        <v>552.29</v>
      </c>
      <c r="C497" s="77" t="n">
        <v>7773.9502</v>
      </c>
      <c r="D497" s="45" t="n">
        <f aca="false">B497/B496-1</f>
        <v>-0.0181860200526204</v>
      </c>
      <c r="E497" s="45" t="n">
        <f aca="false">C497/C496-1</f>
        <v>0.00663367293819617</v>
      </c>
      <c r="F497" s="35"/>
      <c r="G497" s="35"/>
      <c r="H497" s="33"/>
      <c r="I497" s="33"/>
      <c r="J497" s="33"/>
      <c r="K497" s="33"/>
      <c r="L497" s="33"/>
    </row>
    <row r="498" customFormat="false" ht="15" hidden="false" customHeight="false" outlineLevel="0" collapsed="false">
      <c r="A498" s="36" t="s">
        <v>998</v>
      </c>
      <c r="B498" s="76" t="n">
        <v>574</v>
      </c>
      <c r="C498" s="77" t="n">
        <v>7818.9302</v>
      </c>
      <c r="D498" s="45" t="n">
        <f aca="false">B498/B497-1</f>
        <v>0.0393090586467255</v>
      </c>
      <c r="E498" s="45" t="n">
        <f aca="false">C498/C497-1</f>
        <v>0.00578599024212934</v>
      </c>
      <c r="F498" s="35"/>
      <c r="G498" s="35"/>
      <c r="H498" s="33"/>
      <c r="I498" s="33"/>
      <c r="J498" s="33"/>
      <c r="K498" s="33"/>
      <c r="L498" s="33"/>
    </row>
    <row r="499" customFormat="false" ht="15" hidden="false" customHeight="false" outlineLevel="0" collapsed="false">
      <c r="A499" s="36" t="s">
        <v>999</v>
      </c>
      <c r="B499" s="76" t="n">
        <v>578.96</v>
      </c>
      <c r="C499" s="77" t="n">
        <v>7801.77</v>
      </c>
      <c r="D499" s="45" t="n">
        <f aca="false">B499/B498-1</f>
        <v>0.00864111498257847</v>
      </c>
      <c r="E499" s="45" t="n">
        <f aca="false">C499/C498-1</f>
        <v>-0.00219469921857074</v>
      </c>
      <c r="F499" s="35"/>
      <c r="G499" s="35"/>
      <c r="H499" s="33"/>
      <c r="I499" s="33"/>
      <c r="J499" s="33"/>
      <c r="K499" s="33"/>
      <c r="L499" s="33"/>
    </row>
    <row r="500" customFormat="false" ht="15" hidden="false" customHeight="false" outlineLevel="0" collapsed="false">
      <c r="A500" s="36" t="s">
        <v>1000</v>
      </c>
      <c r="B500" s="76" t="n">
        <v>574.55</v>
      </c>
      <c r="C500" s="77" t="n">
        <v>7765.3599</v>
      </c>
      <c r="D500" s="45" t="n">
        <f aca="false">B500/B499-1</f>
        <v>-0.00761710653585757</v>
      </c>
      <c r="E500" s="45" t="n">
        <f aca="false">C500/C499-1</f>
        <v>-0.0046669025105841</v>
      </c>
      <c r="F500" s="35"/>
      <c r="G500" s="35"/>
      <c r="H500" s="33"/>
      <c r="I500" s="33"/>
      <c r="J500" s="33"/>
      <c r="K500" s="33"/>
      <c r="L500" s="33"/>
    </row>
    <row r="501" customFormat="false" ht="15" hidden="false" customHeight="false" outlineLevel="0" collapsed="false">
      <c r="A501" s="36" t="s">
        <v>1001</v>
      </c>
      <c r="B501" s="76" t="n">
        <v>586.06</v>
      </c>
      <c r="C501" s="77" t="n">
        <v>7811.54</v>
      </c>
      <c r="D501" s="45" t="n">
        <f aca="false">B501/B500-1</f>
        <v>0.0200330693586286</v>
      </c>
      <c r="E501" s="45" t="n">
        <f aca="false">C501/C500-1</f>
        <v>0.00594693621347786</v>
      </c>
      <c r="F501" s="35"/>
      <c r="G501" s="35"/>
      <c r="H501" s="33"/>
      <c r="I501" s="33"/>
      <c r="J501" s="33"/>
      <c r="K501" s="33"/>
      <c r="L501" s="33"/>
    </row>
    <row r="502" customFormat="false" ht="15" hidden="false" customHeight="false" outlineLevel="0" collapsed="false">
      <c r="A502" s="36" t="s">
        <v>1002</v>
      </c>
      <c r="B502" s="76" t="n">
        <v>576.76</v>
      </c>
      <c r="C502" s="77" t="n">
        <v>7807.2402</v>
      </c>
      <c r="D502" s="45" t="n">
        <f aca="false">B502/B501-1</f>
        <v>-0.0158686823874687</v>
      </c>
      <c r="E502" s="45" t="n">
        <f aca="false">C502/C501-1</f>
        <v>-0.000550442038317667</v>
      </c>
      <c r="F502" s="35"/>
      <c r="G502" s="35"/>
      <c r="H502" s="33"/>
      <c r="I502" s="33"/>
      <c r="J502" s="33"/>
      <c r="K502" s="33"/>
      <c r="L502" s="33"/>
    </row>
    <row r="503" customFormat="false" ht="15" hidden="false" customHeight="false" outlineLevel="0" collapsed="false">
      <c r="A503" s="36" t="s">
        <v>1003</v>
      </c>
      <c r="B503" s="76" t="n">
        <v>572.47</v>
      </c>
      <c r="C503" s="77" t="n">
        <v>7805.4502</v>
      </c>
      <c r="D503" s="45" t="n">
        <f aca="false">B503/B502-1</f>
        <v>-0.00743810250364096</v>
      </c>
      <c r="E503" s="45" t="n">
        <f aca="false">C503/C502-1</f>
        <v>-0.000229274359971665</v>
      </c>
      <c r="F503" s="35"/>
      <c r="G503" s="35"/>
      <c r="H503" s="33"/>
      <c r="I503" s="33"/>
      <c r="J503" s="33"/>
      <c r="K503" s="33"/>
      <c r="L503" s="33"/>
    </row>
    <row r="504" customFormat="false" ht="15" hidden="false" customHeight="false" outlineLevel="0" collapsed="false">
      <c r="A504" s="36" t="s">
        <v>1004</v>
      </c>
      <c r="B504" s="76" t="n">
        <v>507.93</v>
      </c>
      <c r="C504" s="77" t="n">
        <v>7718.9399</v>
      </c>
      <c r="D504" s="45" t="n">
        <f aca="false">B504/B503-1</f>
        <v>-0.112739532202561</v>
      </c>
      <c r="E504" s="45" t="n">
        <f aca="false">C504/C503-1</f>
        <v>-0.0110833197039679</v>
      </c>
      <c r="F504" s="35"/>
      <c r="G504" s="35"/>
      <c r="H504" s="33"/>
      <c r="I504" s="33"/>
      <c r="J504" s="33"/>
      <c r="K504" s="33"/>
      <c r="L504" s="33"/>
    </row>
    <row r="505" customFormat="false" ht="15" hidden="false" customHeight="false" outlineLevel="0" collapsed="false">
      <c r="A505" s="36" t="s">
        <v>21</v>
      </c>
      <c r="B505" s="76" t="n">
        <v>473.39</v>
      </c>
      <c r="C505" s="77" t="n">
        <v>7744.0601</v>
      </c>
      <c r="D505" s="45" t="n">
        <f aca="false">B505/B504-1</f>
        <v>-0.068001496269171</v>
      </c>
      <c r="E505" s="45" t="n">
        <f aca="false">C505/C504-1</f>
        <v>0.00325435880126479</v>
      </c>
      <c r="F505" s="35"/>
      <c r="G505" s="35"/>
      <c r="H505" s="33"/>
      <c r="I505" s="33"/>
      <c r="J505" s="33"/>
      <c r="K505" s="33"/>
      <c r="L505"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2026-10-20T00:13:11Z</dcterms:created>
  <dc:creator>openpyxl</dc:creator>
  <dc:description/>
  <dc:language>en-US</dc:language>
  <cp:lastModifiedBy/>
  <dcterms:modified xsi:type="dcterms:W3CDTF">2026-10-19T19:13:14Z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